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ttps://grouppmx-my.sharepoint.com/personal/omdreyfus_grouppmx_com/Documents/Documents/GT HW/HW3/"/>
    </mc:Choice>
  </mc:AlternateContent>
  <xr:revisionPtr revIDLastSave="611" documentId="11_8A5AFB3E3101E9A0B71FD8210B3E0C7D5386E605" xr6:coauthVersionLast="47" xr6:coauthVersionMax="47" xr10:uidLastSave="{B228F038-0B07-4D00-8E26-280673D2440F}"/>
  <bookViews>
    <workbookView xWindow="-120" yWindow="-120" windowWidth="29040" windowHeight="15720" xr2:uid="{00000000-000D-0000-FFFF-FFFF00000000}"/>
  </bookViews>
  <sheets>
    <sheet name="(1)CUSUM Minus" sheetId="1" r:id="rId1"/>
    <sheet name="(2)CUSUM Pl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4" i="1" l="1"/>
  <c r="CB5" i="1" s="1"/>
  <c r="CB6" i="1" s="1"/>
  <c r="CB7" i="1" s="1"/>
  <c r="CB8" i="1" s="1"/>
  <c r="CB9" i="1" s="1"/>
  <c r="CB10" i="1" s="1"/>
  <c r="CB11" i="1" s="1"/>
  <c r="CB12" i="1" s="1"/>
  <c r="CB13" i="1" s="1"/>
  <c r="CB14" i="1" s="1"/>
  <c r="CB15" i="1" s="1"/>
  <c r="CB16" i="1" s="1"/>
  <c r="CB17" i="1" s="1"/>
  <c r="CB18" i="1" s="1"/>
  <c r="CB19" i="1" s="1"/>
  <c r="CB20" i="1" s="1"/>
  <c r="CB21" i="1" s="1"/>
  <c r="CB22" i="1" s="1"/>
  <c r="CB23" i="1" s="1"/>
  <c r="CB24" i="1" s="1"/>
  <c r="CB25" i="1" s="1"/>
  <c r="CB26" i="1" s="1"/>
  <c r="CB27" i="1" s="1"/>
  <c r="CB28" i="1" s="1"/>
  <c r="CB29" i="1" s="1"/>
  <c r="CB30" i="1" s="1"/>
  <c r="CB31" i="1" s="1"/>
  <c r="CB32" i="1" s="1"/>
  <c r="CB33" i="1" s="1"/>
  <c r="CB34" i="1" s="1"/>
  <c r="CB35" i="1" s="1"/>
  <c r="CB36" i="1" s="1"/>
  <c r="CB37" i="1" s="1"/>
  <c r="CB38" i="1" s="1"/>
  <c r="CB39" i="1" s="1"/>
  <c r="CB40" i="1" s="1"/>
  <c r="CB41" i="1" s="1"/>
  <c r="CB42" i="1" s="1"/>
  <c r="CB43" i="1" s="1"/>
  <c r="CB44" i="1" s="1"/>
  <c r="CB45" i="1" s="1"/>
  <c r="CB46" i="1" s="1"/>
  <c r="CB47" i="1" s="1"/>
  <c r="CB48" i="1" s="1"/>
  <c r="CB49" i="1" s="1"/>
  <c r="CB50" i="1" s="1"/>
  <c r="CB51" i="1" s="1"/>
  <c r="CB52" i="1" s="1"/>
  <c r="CB53" i="1" s="1"/>
  <c r="CB54" i="1" s="1"/>
  <c r="CB55" i="1" s="1"/>
  <c r="CB56" i="1" s="1"/>
  <c r="CB57" i="1" s="1"/>
  <c r="CB58" i="1" s="1"/>
  <c r="CB59" i="1" s="1"/>
  <c r="CB60" i="1" s="1"/>
  <c r="CB61" i="1" s="1"/>
  <c r="CB62" i="1" s="1"/>
  <c r="CB63" i="1" s="1"/>
  <c r="CB64" i="1" s="1"/>
  <c r="CB65" i="1" s="1"/>
  <c r="CB66" i="1" s="1"/>
  <c r="CB67" i="1" s="1"/>
  <c r="CB68" i="1" s="1"/>
  <c r="CB69" i="1" s="1"/>
  <c r="CB70" i="1" s="1"/>
  <c r="CB71" i="1" s="1"/>
  <c r="CB72" i="1" s="1"/>
  <c r="CB73" i="1" s="1"/>
  <c r="CB74" i="1" s="1"/>
  <c r="CB75" i="1" s="1"/>
  <c r="CB76" i="1" s="1"/>
  <c r="CB77" i="1" s="1"/>
  <c r="CB78" i="1" s="1"/>
  <c r="CB79" i="1" s="1"/>
  <c r="CB80" i="1" s="1"/>
  <c r="CB81" i="1" s="1"/>
  <c r="CB82" i="1" s="1"/>
  <c r="CB83" i="1" s="1"/>
  <c r="CB84" i="1" s="1"/>
  <c r="CB85" i="1" s="1"/>
  <c r="CB86" i="1" s="1"/>
  <c r="CB87" i="1" s="1"/>
  <c r="CB88" i="1" s="1"/>
  <c r="CB89" i="1" s="1"/>
  <c r="CB90" i="1" s="1"/>
  <c r="CB91" i="1" s="1"/>
  <c r="CB92" i="1" s="1"/>
  <c r="CB93" i="1" s="1"/>
  <c r="CB94" i="1" s="1"/>
  <c r="CB95" i="1" s="1"/>
  <c r="CB96" i="1" s="1"/>
  <c r="CB97" i="1" s="1"/>
  <c r="CB98" i="1" s="1"/>
  <c r="CB99" i="1" s="1"/>
  <c r="CB100" i="1" s="1"/>
  <c r="CB101" i="1" s="1"/>
  <c r="CB102" i="1" s="1"/>
  <c r="CB103" i="1" s="1"/>
  <c r="CB104" i="1" s="1"/>
  <c r="CB105" i="1" s="1"/>
  <c r="CB106" i="1" s="1"/>
  <c r="CB107" i="1" s="1"/>
  <c r="CB108" i="1" s="1"/>
  <c r="CB109" i="1" s="1"/>
  <c r="CB110" i="1" s="1"/>
  <c r="CB111" i="1" s="1"/>
  <c r="CB112" i="1" s="1"/>
  <c r="CB113" i="1" s="1"/>
  <c r="CB114" i="1" s="1"/>
  <c r="CB115" i="1" s="1"/>
  <c r="CB116" i="1" s="1"/>
  <c r="CB117" i="1" s="1"/>
  <c r="CB118" i="1" s="1"/>
  <c r="CB119" i="1" s="1"/>
  <c r="CB120" i="1" s="1"/>
  <c r="CB121" i="1" s="1"/>
  <c r="CB122" i="1" s="1"/>
  <c r="CB123" i="1" s="1"/>
  <c r="CB124" i="1" s="1"/>
  <c r="CB3" i="1"/>
  <c r="BX4" i="1"/>
  <c r="BX5" i="1" s="1"/>
  <c r="BX6" i="1" s="1"/>
  <c r="BX7" i="1" s="1"/>
  <c r="BX8" i="1" s="1"/>
  <c r="BX9" i="1" s="1"/>
  <c r="BX10" i="1" s="1"/>
  <c r="BX11" i="1" s="1"/>
  <c r="BX12" i="1" s="1"/>
  <c r="BX13" i="1" s="1"/>
  <c r="BX14" i="1" s="1"/>
  <c r="BX15" i="1" s="1"/>
  <c r="BX16" i="1" s="1"/>
  <c r="BX17" i="1" s="1"/>
  <c r="BX18" i="1" s="1"/>
  <c r="BX19" i="1" s="1"/>
  <c r="BX20" i="1" s="1"/>
  <c r="BX21" i="1" s="1"/>
  <c r="BX22" i="1" s="1"/>
  <c r="BX23" i="1" s="1"/>
  <c r="BX24" i="1" s="1"/>
  <c r="BX25" i="1" s="1"/>
  <c r="BX26" i="1" s="1"/>
  <c r="BX27" i="1" s="1"/>
  <c r="BX28" i="1" s="1"/>
  <c r="BX29" i="1" s="1"/>
  <c r="BX30" i="1" s="1"/>
  <c r="BX31" i="1" s="1"/>
  <c r="BX32" i="1" s="1"/>
  <c r="BX33" i="1" s="1"/>
  <c r="BX34" i="1" s="1"/>
  <c r="BX35" i="1" s="1"/>
  <c r="BX36" i="1" s="1"/>
  <c r="BX37" i="1" s="1"/>
  <c r="BX38" i="1" s="1"/>
  <c r="BX39" i="1" s="1"/>
  <c r="BX40" i="1" s="1"/>
  <c r="BX41" i="1" s="1"/>
  <c r="BX42" i="1" s="1"/>
  <c r="BX43" i="1" s="1"/>
  <c r="BX44" i="1" s="1"/>
  <c r="BX45" i="1" s="1"/>
  <c r="BX46" i="1" s="1"/>
  <c r="BX47" i="1" s="1"/>
  <c r="BX48" i="1" s="1"/>
  <c r="BX49" i="1" s="1"/>
  <c r="BX50" i="1" s="1"/>
  <c r="BX51" i="1" s="1"/>
  <c r="BX52" i="1" s="1"/>
  <c r="BX53" i="1" s="1"/>
  <c r="BX54" i="1" s="1"/>
  <c r="BX55" i="1" s="1"/>
  <c r="BX56" i="1" s="1"/>
  <c r="BX57" i="1" s="1"/>
  <c r="BX58" i="1" s="1"/>
  <c r="BX59" i="1" s="1"/>
  <c r="BX60" i="1" s="1"/>
  <c r="BX61" i="1" s="1"/>
  <c r="BX62" i="1" s="1"/>
  <c r="BX63" i="1" s="1"/>
  <c r="BX64" i="1" s="1"/>
  <c r="BX65" i="1" s="1"/>
  <c r="BX66" i="1" s="1"/>
  <c r="BX67" i="1" s="1"/>
  <c r="BX68" i="1" s="1"/>
  <c r="BX69" i="1" s="1"/>
  <c r="BX70" i="1" s="1"/>
  <c r="BX71" i="1" s="1"/>
  <c r="BX72" i="1" s="1"/>
  <c r="BX73" i="1" s="1"/>
  <c r="BX74" i="1" s="1"/>
  <c r="BX75" i="1" s="1"/>
  <c r="BX76" i="1" s="1"/>
  <c r="BX77" i="1" s="1"/>
  <c r="BX78" i="1" s="1"/>
  <c r="BX79" i="1" s="1"/>
  <c r="BX80" i="1" s="1"/>
  <c r="BX81" i="1" s="1"/>
  <c r="BX82" i="1" s="1"/>
  <c r="BX83" i="1" s="1"/>
  <c r="BX84" i="1" s="1"/>
  <c r="BX85" i="1" s="1"/>
  <c r="BX86" i="1" s="1"/>
  <c r="BX87" i="1" s="1"/>
  <c r="BX88" i="1" s="1"/>
  <c r="BX89" i="1" s="1"/>
  <c r="BX90" i="1" s="1"/>
  <c r="BX91" i="1" s="1"/>
  <c r="BX92" i="1" s="1"/>
  <c r="BX93" i="1" s="1"/>
  <c r="BX94" i="1" s="1"/>
  <c r="BX95" i="1" s="1"/>
  <c r="BX96" i="1" s="1"/>
  <c r="BX97" i="1" s="1"/>
  <c r="BX98" i="1" s="1"/>
  <c r="BX99" i="1" s="1"/>
  <c r="BX100" i="1" s="1"/>
  <c r="BX101" i="1" s="1"/>
  <c r="BX102" i="1" s="1"/>
  <c r="BX103" i="1" s="1"/>
  <c r="BX104" i="1" s="1"/>
  <c r="BX105" i="1" s="1"/>
  <c r="BX106" i="1" s="1"/>
  <c r="BX107" i="1" s="1"/>
  <c r="BX108" i="1" s="1"/>
  <c r="BX109" i="1" s="1"/>
  <c r="BX110" i="1" s="1"/>
  <c r="BX111" i="1" s="1"/>
  <c r="BX112" i="1" s="1"/>
  <c r="BX113" i="1" s="1"/>
  <c r="BX114" i="1" s="1"/>
  <c r="BX115" i="1" s="1"/>
  <c r="BX116" i="1" s="1"/>
  <c r="BX117" i="1" s="1"/>
  <c r="BX118" i="1" s="1"/>
  <c r="BX119" i="1" s="1"/>
  <c r="BX120" i="1" s="1"/>
  <c r="BX121" i="1" s="1"/>
  <c r="BX122" i="1" s="1"/>
  <c r="BX123" i="1" s="1"/>
  <c r="BX124" i="1" s="1"/>
  <c r="BX3" i="1"/>
  <c r="BT4" i="1"/>
  <c r="BT5" i="1" s="1"/>
  <c r="BT6" i="1" s="1"/>
  <c r="BT7" i="1" s="1"/>
  <c r="BT8" i="1" s="1"/>
  <c r="BT9" i="1" s="1"/>
  <c r="BT10" i="1" s="1"/>
  <c r="BT11" i="1" s="1"/>
  <c r="BT12" i="1" s="1"/>
  <c r="BT13" i="1" s="1"/>
  <c r="BT14" i="1" s="1"/>
  <c r="BT15" i="1" s="1"/>
  <c r="BT16" i="1" s="1"/>
  <c r="BT17" i="1" s="1"/>
  <c r="BT18" i="1" s="1"/>
  <c r="BT19" i="1" s="1"/>
  <c r="BT20" i="1" s="1"/>
  <c r="BT21" i="1" s="1"/>
  <c r="BT22" i="1" s="1"/>
  <c r="BT23" i="1" s="1"/>
  <c r="BT24" i="1" s="1"/>
  <c r="BT25" i="1" s="1"/>
  <c r="BT26" i="1" s="1"/>
  <c r="BT27" i="1" s="1"/>
  <c r="BT28" i="1" s="1"/>
  <c r="BT29" i="1" s="1"/>
  <c r="BT30" i="1" s="1"/>
  <c r="BT31" i="1" s="1"/>
  <c r="BT32" i="1" s="1"/>
  <c r="BT33" i="1" s="1"/>
  <c r="BT34" i="1" s="1"/>
  <c r="BT35" i="1" s="1"/>
  <c r="BT36" i="1" s="1"/>
  <c r="BT37" i="1" s="1"/>
  <c r="BT38" i="1" s="1"/>
  <c r="BT39" i="1" s="1"/>
  <c r="BT40" i="1" s="1"/>
  <c r="BT41" i="1" s="1"/>
  <c r="BT42" i="1" s="1"/>
  <c r="BT43" i="1" s="1"/>
  <c r="BT44" i="1" s="1"/>
  <c r="BT45" i="1" s="1"/>
  <c r="BT46" i="1" s="1"/>
  <c r="BT47" i="1" s="1"/>
  <c r="BT48" i="1" s="1"/>
  <c r="BT49" i="1" s="1"/>
  <c r="BT50" i="1" s="1"/>
  <c r="BT51" i="1" s="1"/>
  <c r="BT52" i="1" s="1"/>
  <c r="BT53" i="1" s="1"/>
  <c r="BT54" i="1" s="1"/>
  <c r="BT55" i="1" s="1"/>
  <c r="BT56" i="1" s="1"/>
  <c r="BT57" i="1" s="1"/>
  <c r="BT58" i="1" s="1"/>
  <c r="BT59" i="1" s="1"/>
  <c r="BT60" i="1" s="1"/>
  <c r="BT61" i="1" s="1"/>
  <c r="BT62" i="1" s="1"/>
  <c r="BT63" i="1" s="1"/>
  <c r="BT64" i="1" s="1"/>
  <c r="BT65" i="1" s="1"/>
  <c r="BT66" i="1" s="1"/>
  <c r="BT67" i="1" s="1"/>
  <c r="BT68" i="1" s="1"/>
  <c r="BT69" i="1" s="1"/>
  <c r="BT70" i="1" s="1"/>
  <c r="BT71" i="1" s="1"/>
  <c r="BT72" i="1" s="1"/>
  <c r="BT73" i="1" s="1"/>
  <c r="BT74" i="1" s="1"/>
  <c r="BT75" i="1" s="1"/>
  <c r="BT76" i="1" s="1"/>
  <c r="BT77" i="1" s="1"/>
  <c r="BT78" i="1" s="1"/>
  <c r="BT79" i="1" s="1"/>
  <c r="BT80" i="1" s="1"/>
  <c r="BT81" i="1" s="1"/>
  <c r="BT82" i="1" s="1"/>
  <c r="BT83" i="1" s="1"/>
  <c r="BT84" i="1" s="1"/>
  <c r="BT85" i="1" s="1"/>
  <c r="BT86" i="1" s="1"/>
  <c r="BT87" i="1" s="1"/>
  <c r="BT88" i="1" s="1"/>
  <c r="BT89" i="1" s="1"/>
  <c r="BT90" i="1" s="1"/>
  <c r="BT91" i="1" s="1"/>
  <c r="BT92" i="1" s="1"/>
  <c r="BT93" i="1" s="1"/>
  <c r="BT94" i="1" s="1"/>
  <c r="BT95" i="1" s="1"/>
  <c r="BT96" i="1" s="1"/>
  <c r="BT97" i="1" s="1"/>
  <c r="BT98" i="1" s="1"/>
  <c r="BT99" i="1" s="1"/>
  <c r="BT100" i="1" s="1"/>
  <c r="BT101" i="1" s="1"/>
  <c r="BT102" i="1" s="1"/>
  <c r="BT103" i="1" s="1"/>
  <c r="BT104" i="1" s="1"/>
  <c r="BT105" i="1" s="1"/>
  <c r="BT106" i="1" s="1"/>
  <c r="BT107" i="1" s="1"/>
  <c r="BT108" i="1" s="1"/>
  <c r="BT109" i="1" s="1"/>
  <c r="BT110" i="1" s="1"/>
  <c r="BT111" i="1" s="1"/>
  <c r="BT112" i="1" s="1"/>
  <c r="BT113" i="1" s="1"/>
  <c r="BT114" i="1" s="1"/>
  <c r="BT115" i="1" s="1"/>
  <c r="BT116" i="1" s="1"/>
  <c r="BT117" i="1" s="1"/>
  <c r="BT118" i="1" s="1"/>
  <c r="BT119" i="1" s="1"/>
  <c r="BT120" i="1" s="1"/>
  <c r="BT121" i="1" s="1"/>
  <c r="BT122" i="1" s="1"/>
  <c r="BT123" i="1" s="1"/>
  <c r="BT124" i="1" s="1"/>
  <c r="BT3" i="1"/>
  <c r="BP4" i="1"/>
  <c r="BP5" i="1" s="1"/>
  <c r="BP6" i="1" s="1"/>
  <c r="BP7" i="1" s="1"/>
  <c r="BP8" i="1" s="1"/>
  <c r="BP9" i="1" s="1"/>
  <c r="BP10" i="1" s="1"/>
  <c r="BP11" i="1" s="1"/>
  <c r="BP12" i="1" s="1"/>
  <c r="BP13" i="1" s="1"/>
  <c r="BP14" i="1" s="1"/>
  <c r="BP15" i="1" s="1"/>
  <c r="BP16" i="1" s="1"/>
  <c r="BP17" i="1" s="1"/>
  <c r="BP18" i="1" s="1"/>
  <c r="BP19" i="1" s="1"/>
  <c r="BP20" i="1" s="1"/>
  <c r="BP21" i="1" s="1"/>
  <c r="BP22" i="1" s="1"/>
  <c r="BP23" i="1" s="1"/>
  <c r="BP24" i="1" s="1"/>
  <c r="BP25" i="1" s="1"/>
  <c r="BP26" i="1" s="1"/>
  <c r="BP27" i="1" s="1"/>
  <c r="BP28" i="1" s="1"/>
  <c r="BP29" i="1" s="1"/>
  <c r="BP30" i="1" s="1"/>
  <c r="BP31" i="1" s="1"/>
  <c r="BP32" i="1" s="1"/>
  <c r="BP33" i="1" s="1"/>
  <c r="BP34" i="1" s="1"/>
  <c r="BP35" i="1" s="1"/>
  <c r="BP36" i="1" s="1"/>
  <c r="BP37" i="1" s="1"/>
  <c r="BP38" i="1" s="1"/>
  <c r="BP39" i="1" s="1"/>
  <c r="BP40" i="1" s="1"/>
  <c r="BP41" i="1" s="1"/>
  <c r="BP42" i="1" s="1"/>
  <c r="BP43" i="1" s="1"/>
  <c r="BP44" i="1" s="1"/>
  <c r="BP45" i="1" s="1"/>
  <c r="BP46" i="1" s="1"/>
  <c r="BP47" i="1" s="1"/>
  <c r="BP48" i="1" s="1"/>
  <c r="BP49" i="1" s="1"/>
  <c r="BP50" i="1" s="1"/>
  <c r="BP51" i="1" s="1"/>
  <c r="BP52" i="1" s="1"/>
  <c r="BP53" i="1" s="1"/>
  <c r="BP54" i="1" s="1"/>
  <c r="BP55" i="1" s="1"/>
  <c r="BP56" i="1" s="1"/>
  <c r="BP57" i="1" s="1"/>
  <c r="BP58" i="1" s="1"/>
  <c r="BP59" i="1" s="1"/>
  <c r="BP60" i="1" s="1"/>
  <c r="BP61" i="1" s="1"/>
  <c r="BP62" i="1" s="1"/>
  <c r="BP63" i="1" s="1"/>
  <c r="BP64" i="1" s="1"/>
  <c r="BP65" i="1" s="1"/>
  <c r="BP66" i="1" s="1"/>
  <c r="BP67" i="1" s="1"/>
  <c r="BP68" i="1" s="1"/>
  <c r="BP69" i="1" s="1"/>
  <c r="BP70" i="1" s="1"/>
  <c r="BP71" i="1" s="1"/>
  <c r="BP72" i="1" s="1"/>
  <c r="BP73" i="1" s="1"/>
  <c r="BP74" i="1" s="1"/>
  <c r="BP75" i="1" s="1"/>
  <c r="BP76" i="1" s="1"/>
  <c r="BP77" i="1" s="1"/>
  <c r="BP78" i="1" s="1"/>
  <c r="BP79" i="1" s="1"/>
  <c r="BP80" i="1" s="1"/>
  <c r="BP81" i="1" s="1"/>
  <c r="BP82" i="1" s="1"/>
  <c r="BP83" i="1" s="1"/>
  <c r="BP84" i="1" s="1"/>
  <c r="BP85" i="1" s="1"/>
  <c r="BP86" i="1" s="1"/>
  <c r="BP87" i="1" s="1"/>
  <c r="BP88" i="1" s="1"/>
  <c r="BP89" i="1" s="1"/>
  <c r="BP90" i="1" s="1"/>
  <c r="BP91" i="1" s="1"/>
  <c r="BP92" i="1" s="1"/>
  <c r="BP93" i="1" s="1"/>
  <c r="BP94" i="1" s="1"/>
  <c r="BP95" i="1" s="1"/>
  <c r="BP96" i="1" s="1"/>
  <c r="BP97" i="1" s="1"/>
  <c r="BP98" i="1" s="1"/>
  <c r="BP99" i="1" s="1"/>
  <c r="BP100" i="1" s="1"/>
  <c r="BP101" i="1" s="1"/>
  <c r="BP102" i="1" s="1"/>
  <c r="BP103" i="1" s="1"/>
  <c r="BP104" i="1" s="1"/>
  <c r="BP105" i="1" s="1"/>
  <c r="BP106" i="1" s="1"/>
  <c r="BP107" i="1" s="1"/>
  <c r="BP108" i="1" s="1"/>
  <c r="BP109" i="1" s="1"/>
  <c r="BP110" i="1" s="1"/>
  <c r="BP111" i="1" s="1"/>
  <c r="BP112" i="1" s="1"/>
  <c r="BP113" i="1" s="1"/>
  <c r="BP114" i="1" s="1"/>
  <c r="BP115" i="1" s="1"/>
  <c r="BP116" i="1" s="1"/>
  <c r="BP117" i="1" s="1"/>
  <c r="BP118" i="1" s="1"/>
  <c r="BP119" i="1" s="1"/>
  <c r="BP120" i="1" s="1"/>
  <c r="BP121" i="1" s="1"/>
  <c r="BP122" i="1" s="1"/>
  <c r="BP123" i="1" s="1"/>
  <c r="BP124" i="1" s="1"/>
  <c r="BP3" i="1"/>
  <c r="BL4" i="1"/>
  <c r="BL5" i="1" s="1"/>
  <c r="BL6" i="1" s="1"/>
  <c r="BL7" i="1" s="1"/>
  <c r="BL8" i="1" s="1"/>
  <c r="BL9" i="1" s="1"/>
  <c r="BL10" i="1" s="1"/>
  <c r="BL11" i="1" s="1"/>
  <c r="BL12" i="1" s="1"/>
  <c r="BL13" i="1" s="1"/>
  <c r="BL14" i="1" s="1"/>
  <c r="BL15" i="1" s="1"/>
  <c r="BL16" i="1" s="1"/>
  <c r="BL17" i="1" s="1"/>
  <c r="BL18" i="1" s="1"/>
  <c r="BL19" i="1" s="1"/>
  <c r="BL20" i="1" s="1"/>
  <c r="BL21" i="1" s="1"/>
  <c r="BL22" i="1" s="1"/>
  <c r="BL23" i="1" s="1"/>
  <c r="BL24" i="1" s="1"/>
  <c r="BL25" i="1" s="1"/>
  <c r="BL26" i="1" s="1"/>
  <c r="BL27" i="1" s="1"/>
  <c r="BL28" i="1" s="1"/>
  <c r="BL29" i="1" s="1"/>
  <c r="BL30" i="1" s="1"/>
  <c r="BL31" i="1" s="1"/>
  <c r="BL32" i="1" s="1"/>
  <c r="BL33" i="1" s="1"/>
  <c r="BL34" i="1" s="1"/>
  <c r="BL35" i="1" s="1"/>
  <c r="BL36" i="1" s="1"/>
  <c r="BL37" i="1" s="1"/>
  <c r="BL38" i="1" s="1"/>
  <c r="BL39" i="1" s="1"/>
  <c r="BL40" i="1" s="1"/>
  <c r="BL41" i="1" s="1"/>
  <c r="BL42" i="1" s="1"/>
  <c r="BL43" i="1" s="1"/>
  <c r="BL44" i="1" s="1"/>
  <c r="BL45" i="1" s="1"/>
  <c r="BL46" i="1" s="1"/>
  <c r="BL47" i="1" s="1"/>
  <c r="BL48" i="1" s="1"/>
  <c r="BL49" i="1" s="1"/>
  <c r="BL50" i="1" s="1"/>
  <c r="BL51" i="1" s="1"/>
  <c r="BL52" i="1" s="1"/>
  <c r="BL53" i="1" s="1"/>
  <c r="BL54" i="1" s="1"/>
  <c r="BL55" i="1" s="1"/>
  <c r="BL56" i="1" s="1"/>
  <c r="BL57" i="1" s="1"/>
  <c r="BL58" i="1" s="1"/>
  <c r="BL59" i="1" s="1"/>
  <c r="BL60" i="1" s="1"/>
  <c r="BL61" i="1" s="1"/>
  <c r="BL62" i="1" s="1"/>
  <c r="BL63" i="1" s="1"/>
  <c r="BL64" i="1" s="1"/>
  <c r="BL65" i="1" s="1"/>
  <c r="BL66" i="1" s="1"/>
  <c r="BL67" i="1" s="1"/>
  <c r="BL68" i="1" s="1"/>
  <c r="BL69" i="1" s="1"/>
  <c r="BL70" i="1" s="1"/>
  <c r="BL71" i="1" s="1"/>
  <c r="BL72" i="1" s="1"/>
  <c r="BL73" i="1" s="1"/>
  <c r="BL74" i="1" s="1"/>
  <c r="BL75" i="1" s="1"/>
  <c r="BL76" i="1" s="1"/>
  <c r="BL77" i="1" s="1"/>
  <c r="BL78" i="1" s="1"/>
  <c r="BL79" i="1" s="1"/>
  <c r="BL80" i="1" s="1"/>
  <c r="BL81" i="1" s="1"/>
  <c r="BL82" i="1" s="1"/>
  <c r="BL83" i="1" s="1"/>
  <c r="BL84" i="1" s="1"/>
  <c r="BL85" i="1" s="1"/>
  <c r="BL86" i="1" s="1"/>
  <c r="BL87" i="1" s="1"/>
  <c r="BL88" i="1" s="1"/>
  <c r="BL89" i="1" s="1"/>
  <c r="BL90" i="1" s="1"/>
  <c r="BL91" i="1" s="1"/>
  <c r="BL92" i="1" s="1"/>
  <c r="BL93" i="1" s="1"/>
  <c r="BL94" i="1" s="1"/>
  <c r="BL95" i="1" s="1"/>
  <c r="BL96" i="1" s="1"/>
  <c r="BL97" i="1" s="1"/>
  <c r="BL98" i="1" s="1"/>
  <c r="BL99" i="1" s="1"/>
  <c r="BL100" i="1" s="1"/>
  <c r="BL101" i="1" s="1"/>
  <c r="BL102" i="1" s="1"/>
  <c r="BL103" i="1" s="1"/>
  <c r="BL104" i="1" s="1"/>
  <c r="BL105" i="1" s="1"/>
  <c r="BL106" i="1" s="1"/>
  <c r="BL107" i="1" s="1"/>
  <c r="BL108" i="1" s="1"/>
  <c r="BL109" i="1" s="1"/>
  <c r="BL110" i="1" s="1"/>
  <c r="BL111" i="1" s="1"/>
  <c r="BL112" i="1" s="1"/>
  <c r="BL113" i="1" s="1"/>
  <c r="BL114" i="1" s="1"/>
  <c r="BL115" i="1" s="1"/>
  <c r="BL116" i="1" s="1"/>
  <c r="BL117" i="1" s="1"/>
  <c r="BL118" i="1" s="1"/>
  <c r="BL119" i="1" s="1"/>
  <c r="BL120" i="1" s="1"/>
  <c r="BL121" i="1" s="1"/>
  <c r="BL122" i="1" s="1"/>
  <c r="BL123" i="1" s="1"/>
  <c r="BL124" i="1" s="1"/>
  <c r="BL3" i="1"/>
  <c r="BH4" i="1"/>
  <c r="BH5" i="1" s="1"/>
  <c r="BH6" i="1" s="1"/>
  <c r="BH7" i="1" s="1"/>
  <c r="BH8" i="1" s="1"/>
  <c r="BH9" i="1" s="1"/>
  <c r="BH10" i="1" s="1"/>
  <c r="BH11" i="1" s="1"/>
  <c r="BH12" i="1" s="1"/>
  <c r="BH13" i="1" s="1"/>
  <c r="BH14" i="1" s="1"/>
  <c r="BH15" i="1" s="1"/>
  <c r="BH16" i="1" s="1"/>
  <c r="BH17" i="1" s="1"/>
  <c r="BH18" i="1" s="1"/>
  <c r="BH19" i="1" s="1"/>
  <c r="BH20" i="1" s="1"/>
  <c r="BH21" i="1" s="1"/>
  <c r="BH22" i="1" s="1"/>
  <c r="BH23" i="1" s="1"/>
  <c r="BH24" i="1" s="1"/>
  <c r="BH25" i="1" s="1"/>
  <c r="BH26" i="1" s="1"/>
  <c r="BH27" i="1" s="1"/>
  <c r="BH28" i="1" s="1"/>
  <c r="BH29" i="1" s="1"/>
  <c r="BH30" i="1" s="1"/>
  <c r="BH31" i="1" s="1"/>
  <c r="BH32" i="1" s="1"/>
  <c r="BH33" i="1" s="1"/>
  <c r="BH34" i="1" s="1"/>
  <c r="BH35" i="1" s="1"/>
  <c r="BH36" i="1" s="1"/>
  <c r="BH37" i="1" s="1"/>
  <c r="BH38" i="1" s="1"/>
  <c r="BH39" i="1" s="1"/>
  <c r="BH40" i="1" s="1"/>
  <c r="BH41" i="1" s="1"/>
  <c r="BH42" i="1" s="1"/>
  <c r="BH43" i="1" s="1"/>
  <c r="BH44" i="1" s="1"/>
  <c r="BH45" i="1" s="1"/>
  <c r="BH46" i="1" s="1"/>
  <c r="BH47" i="1" s="1"/>
  <c r="BH48" i="1" s="1"/>
  <c r="BH49" i="1" s="1"/>
  <c r="BH50" i="1" s="1"/>
  <c r="BH51" i="1" s="1"/>
  <c r="BH52" i="1" s="1"/>
  <c r="BH53" i="1" s="1"/>
  <c r="BH54" i="1" s="1"/>
  <c r="BH55" i="1" s="1"/>
  <c r="BH56" i="1" s="1"/>
  <c r="BH57" i="1" s="1"/>
  <c r="BH58" i="1" s="1"/>
  <c r="BH59" i="1" s="1"/>
  <c r="BH60" i="1" s="1"/>
  <c r="BH61" i="1" s="1"/>
  <c r="BH62" i="1" s="1"/>
  <c r="BH63" i="1" s="1"/>
  <c r="BH64" i="1" s="1"/>
  <c r="BH65" i="1" s="1"/>
  <c r="BH66" i="1" s="1"/>
  <c r="BH67" i="1" s="1"/>
  <c r="BH68" i="1" s="1"/>
  <c r="BH69" i="1" s="1"/>
  <c r="BH70" i="1" s="1"/>
  <c r="BH71" i="1" s="1"/>
  <c r="BH72" i="1" s="1"/>
  <c r="BH73" i="1" s="1"/>
  <c r="BH74" i="1" s="1"/>
  <c r="BH75" i="1" s="1"/>
  <c r="BH76" i="1" s="1"/>
  <c r="BH77" i="1" s="1"/>
  <c r="BH78" i="1" s="1"/>
  <c r="BH79" i="1" s="1"/>
  <c r="BH80" i="1" s="1"/>
  <c r="BH81" i="1" s="1"/>
  <c r="BH82" i="1" s="1"/>
  <c r="BH83" i="1" s="1"/>
  <c r="BH84" i="1" s="1"/>
  <c r="BH85" i="1" s="1"/>
  <c r="BH86" i="1" s="1"/>
  <c r="BH87" i="1" s="1"/>
  <c r="BH88" i="1" s="1"/>
  <c r="BH89" i="1" s="1"/>
  <c r="BH90" i="1" s="1"/>
  <c r="BH91" i="1" s="1"/>
  <c r="BH92" i="1" s="1"/>
  <c r="BH93" i="1" s="1"/>
  <c r="BH94" i="1" s="1"/>
  <c r="BH95" i="1" s="1"/>
  <c r="BH96" i="1" s="1"/>
  <c r="BH97" i="1" s="1"/>
  <c r="BH98" i="1" s="1"/>
  <c r="BH99" i="1" s="1"/>
  <c r="BH100" i="1" s="1"/>
  <c r="BH101" i="1" s="1"/>
  <c r="BH102" i="1" s="1"/>
  <c r="BH103" i="1" s="1"/>
  <c r="BH104" i="1" s="1"/>
  <c r="BH105" i="1" s="1"/>
  <c r="BH106" i="1" s="1"/>
  <c r="BH107" i="1" s="1"/>
  <c r="BH108" i="1" s="1"/>
  <c r="BH109" i="1" s="1"/>
  <c r="BH110" i="1" s="1"/>
  <c r="BH111" i="1" s="1"/>
  <c r="BH112" i="1" s="1"/>
  <c r="BH113" i="1" s="1"/>
  <c r="BH114" i="1" s="1"/>
  <c r="BH115" i="1" s="1"/>
  <c r="BH116" i="1" s="1"/>
  <c r="BH117" i="1" s="1"/>
  <c r="BH118" i="1" s="1"/>
  <c r="BH119" i="1" s="1"/>
  <c r="BH120" i="1" s="1"/>
  <c r="BH121" i="1" s="1"/>
  <c r="BH122" i="1" s="1"/>
  <c r="BH123" i="1" s="1"/>
  <c r="BH124" i="1" s="1"/>
  <c r="BH3" i="1"/>
  <c r="BD4" i="1"/>
  <c r="BD5" i="1"/>
  <c r="BD6" i="1" s="1"/>
  <c r="BD7" i="1" s="1"/>
  <c r="BD8" i="1" s="1"/>
  <c r="BD9" i="1" s="1"/>
  <c r="BD10" i="1" s="1"/>
  <c r="BD11" i="1" s="1"/>
  <c r="BD12" i="1" s="1"/>
  <c r="BD13" i="1" s="1"/>
  <c r="BD14" i="1" s="1"/>
  <c r="BD15" i="1" s="1"/>
  <c r="BD16" i="1" s="1"/>
  <c r="BD17" i="1" s="1"/>
  <c r="BD18" i="1" s="1"/>
  <c r="BD19" i="1" s="1"/>
  <c r="BD20" i="1" s="1"/>
  <c r="BD21" i="1" s="1"/>
  <c r="BD22" i="1" s="1"/>
  <c r="BD23" i="1" s="1"/>
  <c r="BD24" i="1" s="1"/>
  <c r="BD25" i="1" s="1"/>
  <c r="BD26" i="1" s="1"/>
  <c r="BD27" i="1" s="1"/>
  <c r="BD28" i="1" s="1"/>
  <c r="BD29" i="1" s="1"/>
  <c r="BD30" i="1" s="1"/>
  <c r="BD31" i="1" s="1"/>
  <c r="BD32" i="1" s="1"/>
  <c r="BD33" i="1" s="1"/>
  <c r="BD34" i="1" s="1"/>
  <c r="BD35" i="1" s="1"/>
  <c r="BD36" i="1" s="1"/>
  <c r="BD37" i="1" s="1"/>
  <c r="BD38" i="1" s="1"/>
  <c r="BD39" i="1" s="1"/>
  <c r="BD40" i="1" s="1"/>
  <c r="BD41" i="1" s="1"/>
  <c r="BD42" i="1" s="1"/>
  <c r="BD43" i="1" s="1"/>
  <c r="BD44" i="1" s="1"/>
  <c r="BD45" i="1" s="1"/>
  <c r="BD46" i="1" s="1"/>
  <c r="BD47" i="1" s="1"/>
  <c r="BD48" i="1" s="1"/>
  <c r="BD49" i="1" s="1"/>
  <c r="BD50" i="1" s="1"/>
  <c r="BD51" i="1" s="1"/>
  <c r="BD52" i="1" s="1"/>
  <c r="BD53" i="1" s="1"/>
  <c r="BD54" i="1" s="1"/>
  <c r="BD55" i="1" s="1"/>
  <c r="BD56" i="1" s="1"/>
  <c r="BD57" i="1" s="1"/>
  <c r="BD58" i="1" s="1"/>
  <c r="BD59" i="1" s="1"/>
  <c r="BD60" i="1" s="1"/>
  <c r="BD61" i="1" s="1"/>
  <c r="BD62" i="1" s="1"/>
  <c r="BD63" i="1" s="1"/>
  <c r="BD64" i="1" s="1"/>
  <c r="BD65" i="1" s="1"/>
  <c r="BD66" i="1" s="1"/>
  <c r="BD67" i="1" s="1"/>
  <c r="BD68" i="1" s="1"/>
  <c r="BD69" i="1" s="1"/>
  <c r="BD70" i="1" s="1"/>
  <c r="BD71" i="1" s="1"/>
  <c r="BD72" i="1" s="1"/>
  <c r="BD73" i="1" s="1"/>
  <c r="BD74" i="1" s="1"/>
  <c r="BD75" i="1" s="1"/>
  <c r="BD76" i="1" s="1"/>
  <c r="BD77" i="1" s="1"/>
  <c r="BD78" i="1" s="1"/>
  <c r="BD79" i="1" s="1"/>
  <c r="BD80" i="1" s="1"/>
  <c r="BD81" i="1" s="1"/>
  <c r="BD82" i="1" s="1"/>
  <c r="BD83" i="1" s="1"/>
  <c r="BD84" i="1" s="1"/>
  <c r="BD85" i="1" s="1"/>
  <c r="BD86" i="1" s="1"/>
  <c r="BD87" i="1" s="1"/>
  <c r="BD88" i="1" s="1"/>
  <c r="BD89" i="1" s="1"/>
  <c r="BD90" i="1" s="1"/>
  <c r="BD91" i="1" s="1"/>
  <c r="BD92" i="1" s="1"/>
  <c r="BD93" i="1" s="1"/>
  <c r="BD94" i="1" s="1"/>
  <c r="BD95" i="1" s="1"/>
  <c r="BD96" i="1" s="1"/>
  <c r="BD97" i="1" s="1"/>
  <c r="BD98" i="1" s="1"/>
  <c r="BD99" i="1" s="1"/>
  <c r="BD100" i="1" s="1"/>
  <c r="BD101" i="1" s="1"/>
  <c r="BD102" i="1" s="1"/>
  <c r="BD103" i="1" s="1"/>
  <c r="BD104" i="1" s="1"/>
  <c r="BD105" i="1" s="1"/>
  <c r="BD106" i="1" s="1"/>
  <c r="BD107" i="1" s="1"/>
  <c r="BD108" i="1" s="1"/>
  <c r="BD109" i="1" s="1"/>
  <c r="BD110" i="1" s="1"/>
  <c r="BD111" i="1" s="1"/>
  <c r="BD112" i="1" s="1"/>
  <c r="BD113" i="1" s="1"/>
  <c r="BD114" i="1" s="1"/>
  <c r="BD115" i="1" s="1"/>
  <c r="BD116" i="1" s="1"/>
  <c r="BD117" i="1" s="1"/>
  <c r="BD118" i="1" s="1"/>
  <c r="BD119" i="1" s="1"/>
  <c r="BD120" i="1" s="1"/>
  <c r="BD121" i="1" s="1"/>
  <c r="BD122" i="1" s="1"/>
  <c r="BD123" i="1" s="1"/>
  <c r="BD124" i="1" s="1"/>
  <c r="BD3" i="1"/>
  <c r="AZ4" i="1"/>
  <c r="AZ5" i="1" s="1"/>
  <c r="AZ6" i="1" s="1"/>
  <c r="AZ7" i="1" s="1"/>
  <c r="AZ8" i="1" s="1"/>
  <c r="AZ9" i="1" s="1"/>
  <c r="AZ10" i="1" s="1"/>
  <c r="AZ11" i="1" s="1"/>
  <c r="AZ12" i="1" s="1"/>
  <c r="AZ13" i="1" s="1"/>
  <c r="AZ14" i="1" s="1"/>
  <c r="AZ15" i="1" s="1"/>
  <c r="AZ16" i="1" s="1"/>
  <c r="AZ17" i="1" s="1"/>
  <c r="AZ18" i="1" s="1"/>
  <c r="AZ19" i="1" s="1"/>
  <c r="AZ20" i="1" s="1"/>
  <c r="AZ21" i="1" s="1"/>
  <c r="AZ22" i="1" s="1"/>
  <c r="AZ23" i="1" s="1"/>
  <c r="AZ24" i="1" s="1"/>
  <c r="AZ25" i="1" s="1"/>
  <c r="AZ26" i="1" s="1"/>
  <c r="AZ27" i="1" s="1"/>
  <c r="AZ28" i="1" s="1"/>
  <c r="AZ29" i="1" s="1"/>
  <c r="AZ30" i="1" s="1"/>
  <c r="AZ31" i="1" s="1"/>
  <c r="AZ32" i="1" s="1"/>
  <c r="AZ33" i="1" s="1"/>
  <c r="AZ34" i="1" s="1"/>
  <c r="AZ35" i="1" s="1"/>
  <c r="AZ36" i="1" s="1"/>
  <c r="AZ37" i="1" s="1"/>
  <c r="AZ38" i="1" s="1"/>
  <c r="AZ39" i="1" s="1"/>
  <c r="AZ40" i="1" s="1"/>
  <c r="AZ41" i="1" s="1"/>
  <c r="AZ42" i="1" s="1"/>
  <c r="AZ43" i="1" s="1"/>
  <c r="AZ44" i="1" s="1"/>
  <c r="AZ45" i="1" s="1"/>
  <c r="AZ46" i="1" s="1"/>
  <c r="AZ47" i="1" s="1"/>
  <c r="AZ48" i="1" s="1"/>
  <c r="AZ49" i="1" s="1"/>
  <c r="AZ50" i="1" s="1"/>
  <c r="AZ51" i="1" s="1"/>
  <c r="AZ52" i="1" s="1"/>
  <c r="AZ53" i="1" s="1"/>
  <c r="AZ54" i="1" s="1"/>
  <c r="AZ55" i="1" s="1"/>
  <c r="AZ56" i="1" s="1"/>
  <c r="AZ57" i="1" s="1"/>
  <c r="AZ58" i="1" s="1"/>
  <c r="AZ59" i="1" s="1"/>
  <c r="AZ60" i="1" s="1"/>
  <c r="AZ61" i="1" s="1"/>
  <c r="AZ62" i="1" s="1"/>
  <c r="AZ63" i="1" s="1"/>
  <c r="AZ64" i="1" s="1"/>
  <c r="AZ65" i="1" s="1"/>
  <c r="AZ66" i="1" s="1"/>
  <c r="AZ67" i="1" s="1"/>
  <c r="AZ68" i="1" s="1"/>
  <c r="AZ69" i="1" s="1"/>
  <c r="AZ70" i="1" s="1"/>
  <c r="AZ71" i="1" s="1"/>
  <c r="AZ72" i="1" s="1"/>
  <c r="AZ73" i="1" s="1"/>
  <c r="AZ74" i="1" s="1"/>
  <c r="AZ75" i="1" s="1"/>
  <c r="AZ76" i="1" s="1"/>
  <c r="AZ77" i="1" s="1"/>
  <c r="AZ78" i="1" s="1"/>
  <c r="AZ79" i="1" s="1"/>
  <c r="AZ80" i="1" s="1"/>
  <c r="AZ81" i="1" s="1"/>
  <c r="AZ82" i="1" s="1"/>
  <c r="AZ83" i="1" s="1"/>
  <c r="AZ84" i="1" s="1"/>
  <c r="AZ85" i="1" s="1"/>
  <c r="AZ86" i="1" s="1"/>
  <c r="AZ87" i="1" s="1"/>
  <c r="AZ88" i="1" s="1"/>
  <c r="AZ89" i="1" s="1"/>
  <c r="AZ90" i="1" s="1"/>
  <c r="AZ91" i="1" s="1"/>
  <c r="AZ92" i="1" s="1"/>
  <c r="AZ93" i="1" s="1"/>
  <c r="AZ94" i="1" s="1"/>
  <c r="AZ95" i="1" s="1"/>
  <c r="AZ96" i="1" s="1"/>
  <c r="AZ97" i="1" s="1"/>
  <c r="AZ98" i="1" s="1"/>
  <c r="AZ99" i="1" s="1"/>
  <c r="AZ100" i="1" s="1"/>
  <c r="AZ101" i="1" s="1"/>
  <c r="AZ102" i="1" s="1"/>
  <c r="AZ103" i="1" s="1"/>
  <c r="AZ104" i="1" s="1"/>
  <c r="AZ105" i="1" s="1"/>
  <c r="AZ106" i="1" s="1"/>
  <c r="AZ107" i="1" s="1"/>
  <c r="AZ108" i="1" s="1"/>
  <c r="AZ109" i="1" s="1"/>
  <c r="AZ110" i="1" s="1"/>
  <c r="AZ111" i="1" s="1"/>
  <c r="AZ112" i="1" s="1"/>
  <c r="AZ113" i="1" s="1"/>
  <c r="AZ114" i="1" s="1"/>
  <c r="AZ115" i="1" s="1"/>
  <c r="AZ116" i="1" s="1"/>
  <c r="AZ117" i="1" s="1"/>
  <c r="AZ118" i="1" s="1"/>
  <c r="AZ119" i="1" s="1"/>
  <c r="AZ120" i="1" s="1"/>
  <c r="AZ121" i="1" s="1"/>
  <c r="AZ122" i="1" s="1"/>
  <c r="AZ123" i="1" s="1"/>
  <c r="AZ124" i="1" s="1"/>
  <c r="AZ3" i="1"/>
  <c r="AV4" i="1"/>
  <c r="AV5" i="1" s="1"/>
  <c r="AV6" i="1" s="1"/>
  <c r="AV7" i="1" s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AV36" i="1" s="1"/>
  <c r="AV37" i="1" s="1"/>
  <c r="AV38" i="1" s="1"/>
  <c r="AV39" i="1" s="1"/>
  <c r="AV40" i="1" s="1"/>
  <c r="AV41" i="1" s="1"/>
  <c r="AV42" i="1" s="1"/>
  <c r="AV43" i="1" s="1"/>
  <c r="AV44" i="1" s="1"/>
  <c r="AV45" i="1" s="1"/>
  <c r="AV46" i="1" s="1"/>
  <c r="AV47" i="1" s="1"/>
  <c r="AV48" i="1" s="1"/>
  <c r="AV49" i="1" s="1"/>
  <c r="AV50" i="1" s="1"/>
  <c r="AV51" i="1" s="1"/>
  <c r="AV52" i="1" s="1"/>
  <c r="AV53" i="1" s="1"/>
  <c r="AV54" i="1" s="1"/>
  <c r="AV55" i="1" s="1"/>
  <c r="AV56" i="1" s="1"/>
  <c r="AV57" i="1" s="1"/>
  <c r="AV58" i="1" s="1"/>
  <c r="AV59" i="1" s="1"/>
  <c r="AV60" i="1" s="1"/>
  <c r="AV61" i="1" s="1"/>
  <c r="AV62" i="1" s="1"/>
  <c r="AV63" i="1" s="1"/>
  <c r="AV64" i="1" s="1"/>
  <c r="AV65" i="1" s="1"/>
  <c r="AV66" i="1" s="1"/>
  <c r="AV67" i="1" s="1"/>
  <c r="AV68" i="1" s="1"/>
  <c r="AV69" i="1" s="1"/>
  <c r="AV70" i="1" s="1"/>
  <c r="AV71" i="1" s="1"/>
  <c r="AV72" i="1" s="1"/>
  <c r="AV73" i="1" s="1"/>
  <c r="AV74" i="1" s="1"/>
  <c r="AV75" i="1" s="1"/>
  <c r="AV76" i="1" s="1"/>
  <c r="AV77" i="1" s="1"/>
  <c r="AV78" i="1" s="1"/>
  <c r="AV79" i="1" s="1"/>
  <c r="AV80" i="1" s="1"/>
  <c r="AV81" i="1" s="1"/>
  <c r="AV82" i="1" s="1"/>
  <c r="AV83" i="1" s="1"/>
  <c r="AV84" i="1" s="1"/>
  <c r="AV85" i="1" s="1"/>
  <c r="AV86" i="1" s="1"/>
  <c r="AV87" i="1" s="1"/>
  <c r="AV88" i="1" s="1"/>
  <c r="AV89" i="1" s="1"/>
  <c r="AV90" i="1" s="1"/>
  <c r="AV91" i="1" s="1"/>
  <c r="AV92" i="1" s="1"/>
  <c r="AV93" i="1" s="1"/>
  <c r="AV94" i="1" s="1"/>
  <c r="AV95" i="1" s="1"/>
  <c r="AV96" i="1" s="1"/>
  <c r="AV97" i="1" s="1"/>
  <c r="AV98" i="1" s="1"/>
  <c r="AV99" i="1" s="1"/>
  <c r="AV100" i="1" s="1"/>
  <c r="AV101" i="1" s="1"/>
  <c r="AV102" i="1" s="1"/>
  <c r="AV103" i="1" s="1"/>
  <c r="AV104" i="1" s="1"/>
  <c r="AV105" i="1" s="1"/>
  <c r="AV106" i="1" s="1"/>
  <c r="AV107" i="1" s="1"/>
  <c r="AV108" i="1" s="1"/>
  <c r="AV109" i="1" s="1"/>
  <c r="AV110" i="1" s="1"/>
  <c r="AV111" i="1" s="1"/>
  <c r="AV112" i="1" s="1"/>
  <c r="AV113" i="1" s="1"/>
  <c r="AV114" i="1" s="1"/>
  <c r="AV115" i="1" s="1"/>
  <c r="AV116" i="1" s="1"/>
  <c r="AV117" i="1" s="1"/>
  <c r="AV118" i="1" s="1"/>
  <c r="AV119" i="1" s="1"/>
  <c r="AV120" i="1" s="1"/>
  <c r="AV121" i="1" s="1"/>
  <c r="AV122" i="1" s="1"/>
  <c r="AV123" i="1" s="1"/>
  <c r="AV124" i="1" s="1"/>
  <c r="AV3" i="1"/>
  <c r="AR4" i="1"/>
  <c r="AR5" i="1" s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3" i="1"/>
  <c r="AN4" i="1"/>
  <c r="AN5" i="1" s="1"/>
  <c r="AN6" i="1" s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N36" i="1" s="1"/>
  <c r="AN37" i="1" s="1"/>
  <c r="AN38" i="1" s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58" i="1" s="1"/>
  <c r="AN59" i="1" s="1"/>
  <c r="AN60" i="1" s="1"/>
  <c r="AN61" i="1" s="1"/>
  <c r="AN62" i="1" s="1"/>
  <c r="AN63" i="1" s="1"/>
  <c r="AN64" i="1" s="1"/>
  <c r="AN65" i="1" s="1"/>
  <c r="AN66" i="1" s="1"/>
  <c r="AN67" i="1" s="1"/>
  <c r="AN68" i="1" s="1"/>
  <c r="AN69" i="1" s="1"/>
  <c r="AN70" i="1" s="1"/>
  <c r="AN71" i="1" s="1"/>
  <c r="AN72" i="1" s="1"/>
  <c r="AN73" i="1" s="1"/>
  <c r="AN74" i="1" s="1"/>
  <c r="AN75" i="1" s="1"/>
  <c r="AN76" i="1" s="1"/>
  <c r="AN77" i="1" s="1"/>
  <c r="AN78" i="1" s="1"/>
  <c r="AN79" i="1" s="1"/>
  <c r="AN80" i="1" s="1"/>
  <c r="AN81" i="1" s="1"/>
  <c r="AN82" i="1" s="1"/>
  <c r="AN83" i="1" s="1"/>
  <c r="AN84" i="1" s="1"/>
  <c r="AN85" i="1" s="1"/>
  <c r="AN86" i="1" s="1"/>
  <c r="AN87" i="1" s="1"/>
  <c r="AN88" i="1" s="1"/>
  <c r="AN89" i="1" s="1"/>
  <c r="AN90" i="1" s="1"/>
  <c r="AN91" i="1" s="1"/>
  <c r="AN92" i="1" s="1"/>
  <c r="AN93" i="1" s="1"/>
  <c r="AN94" i="1" s="1"/>
  <c r="AN95" i="1" s="1"/>
  <c r="AN96" i="1" s="1"/>
  <c r="AN97" i="1" s="1"/>
  <c r="AN98" i="1" s="1"/>
  <c r="AN99" i="1" s="1"/>
  <c r="AN100" i="1" s="1"/>
  <c r="AN101" i="1" s="1"/>
  <c r="AN102" i="1" s="1"/>
  <c r="AN103" i="1" s="1"/>
  <c r="AN104" i="1" s="1"/>
  <c r="AN105" i="1" s="1"/>
  <c r="AN106" i="1" s="1"/>
  <c r="AN107" i="1" s="1"/>
  <c r="AN108" i="1" s="1"/>
  <c r="AN109" i="1" s="1"/>
  <c r="AN110" i="1" s="1"/>
  <c r="AN111" i="1" s="1"/>
  <c r="AN112" i="1" s="1"/>
  <c r="AN113" i="1" s="1"/>
  <c r="AN114" i="1" s="1"/>
  <c r="AN115" i="1" s="1"/>
  <c r="AN116" i="1" s="1"/>
  <c r="AN117" i="1" s="1"/>
  <c r="AN118" i="1" s="1"/>
  <c r="AN119" i="1" s="1"/>
  <c r="AN120" i="1" s="1"/>
  <c r="AN121" i="1" s="1"/>
  <c r="AN122" i="1" s="1"/>
  <c r="AN123" i="1" s="1"/>
  <c r="AN124" i="1" s="1"/>
  <c r="AN3" i="1"/>
  <c r="AJ4" i="1"/>
  <c r="AJ5" i="1" s="1"/>
  <c r="AJ6" i="1" s="1"/>
  <c r="AJ7" i="1" s="1"/>
  <c r="AJ8" i="1" s="1"/>
  <c r="AJ9" i="1" s="1"/>
  <c r="AJ10" i="1" s="1"/>
  <c r="AJ11" i="1" s="1"/>
  <c r="AJ12" i="1" s="1"/>
  <c r="AJ13" i="1" s="1"/>
  <c r="AJ14" i="1" s="1"/>
  <c r="AJ15" i="1" s="1"/>
  <c r="AJ16" i="1" s="1"/>
  <c r="AJ17" i="1" s="1"/>
  <c r="AJ18" i="1" s="1"/>
  <c r="AJ19" i="1" s="1"/>
  <c r="AJ20" i="1" s="1"/>
  <c r="AJ21" i="1" s="1"/>
  <c r="AJ22" i="1" s="1"/>
  <c r="AJ23" i="1" s="1"/>
  <c r="AJ24" i="1" s="1"/>
  <c r="AJ25" i="1" s="1"/>
  <c r="AJ26" i="1" s="1"/>
  <c r="AJ27" i="1" s="1"/>
  <c r="AJ28" i="1" s="1"/>
  <c r="AJ29" i="1" s="1"/>
  <c r="AJ30" i="1" s="1"/>
  <c r="AJ31" i="1" s="1"/>
  <c r="AJ32" i="1" s="1"/>
  <c r="AJ33" i="1" s="1"/>
  <c r="AJ34" i="1" s="1"/>
  <c r="AJ35" i="1" s="1"/>
  <c r="AJ36" i="1" s="1"/>
  <c r="AJ37" i="1" s="1"/>
  <c r="AJ38" i="1" s="1"/>
  <c r="AJ39" i="1" s="1"/>
  <c r="AJ40" i="1" s="1"/>
  <c r="AJ41" i="1" s="1"/>
  <c r="AJ42" i="1" s="1"/>
  <c r="AJ43" i="1" s="1"/>
  <c r="AJ44" i="1" s="1"/>
  <c r="AJ45" i="1" s="1"/>
  <c r="AJ46" i="1" s="1"/>
  <c r="AJ47" i="1" s="1"/>
  <c r="AJ48" i="1" s="1"/>
  <c r="AJ49" i="1" s="1"/>
  <c r="AJ50" i="1" s="1"/>
  <c r="AJ51" i="1" s="1"/>
  <c r="AJ52" i="1" s="1"/>
  <c r="AJ53" i="1" s="1"/>
  <c r="AJ54" i="1" s="1"/>
  <c r="AJ55" i="1" s="1"/>
  <c r="AJ56" i="1" s="1"/>
  <c r="AJ57" i="1" s="1"/>
  <c r="AJ58" i="1" s="1"/>
  <c r="AJ59" i="1" s="1"/>
  <c r="AJ60" i="1" s="1"/>
  <c r="AJ61" i="1" s="1"/>
  <c r="AJ62" i="1" s="1"/>
  <c r="AJ63" i="1" s="1"/>
  <c r="AJ64" i="1" s="1"/>
  <c r="AJ65" i="1" s="1"/>
  <c r="AJ66" i="1" s="1"/>
  <c r="AJ67" i="1" s="1"/>
  <c r="AJ68" i="1" s="1"/>
  <c r="AJ69" i="1" s="1"/>
  <c r="AJ70" i="1" s="1"/>
  <c r="AJ71" i="1" s="1"/>
  <c r="AJ72" i="1" s="1"/>
  <c r="AJ73" i="1" s="1"/>
  <c r="AJ74" i="1" s="1"/>
  <c r="AJ75" i="1" s="1"/>
  <c r="AJ76" i="1" s="1"/>
  <c r="AJ77" i="1" s="1"/>
  <c r="AJ78" i="1" s="1"/>
  <c r="AJ79" i="1" s="1"/>
  <c r="AJ80" i="1" s="1"/>
  <c r="AJ81" i="1" s="1"/>
  <c r="AJ82" i="1" s="1"/>
  <c r="AJ83" i="1" s="1"/>
  <c r="AJ84" i="1" s="1"/>
  <c r="AJ85" i="1" s="1"/>
  <c r="AJ86" i="1" s="1"/>
  <c r="AJ87" i="1" s="1"/>
  <c r="AJ88" i="1" s="1"/>
  <c r="AJ89" i="1" s="1"/>
  <c r="AJ90" i="1" s="1"/>
  <c r="AJ91" i="1" s="1"/>
  <c r="AJ92" i="1" s="1"/>
  <c r="AJ93" i="1" s="1"/>
  <c r="AJ94" i="1" s="1"/>
  <c r="AJ95" i="1" s="1"/>
  <c r="AJ96" i="1" s="1"/>
  <c r="AJ97" i="1" s="1"/>
  <c r="AJ98" i="1" s="1"/>
  <c r="AJ99" i="1" s="1"/>
  <c r="AJ100" i="1" s="1"/>
  <c r="AJ101" i="1" s="1"/>
  <c r="AJ102" i="1" s="1"/>
  <c r="AJ103" i="1" s="1"/>
  <c r="AJ104" i="1" s="1"/>
  <c r="AJ105" i="1" s="1"/>
  <c r="AJ106" i="1" s="1"/>
  <c r="AJ107" i="1" s="1"/>
  <c r="AJ108" i="1" s="1"/>
  <c r="AJ109" i="1" s="1"/>
  <c r="AJ110" i="1" s="1"/>
  <c r="AJ111" i="1" s="1"/>
  <c r="AJ112" i="1" s="1"/>
  <c r="AJ113" i="1" s="1"/>
  <c r="AJ114" i="1" s="1"/>
  <c r="AJ115" i="1" s="1"/>
  <c r="AJ116" i="1" s="1"/>
  <c r="AJ117" i="1" s="1"/>
  <c r="AJ118" i="1" s="1"/>
  <c r="AJ119" i="1" s="1"/>
  <c r="AJ120" i="1" s="1"/>
  <c r="AJ121" i="1" s="1"/>
  <c r="AJ122" i="1" s="1"/>
  <c r="AJ123" i="1" s="1"/>
  <c r="AJ124" i="1" s="1"/>
  <c r="AJ3" i="1"/>
  <c r="AF3" i="1"/>
  <c r="AF4" i="1" s="1"/>
  <c r="AF5" i="1" s="1"/>
  <c r="AF6" i="1" s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AF61" i="1" s="1"/>
  <c r="AF62" i="1" s="1"/>
  <c r="AF63" i="1" s="1"/>
  <c r="AF64" i="1" s="1"/>
  <c r="AF65" i="1" s="1"/>
  <c r="AF66" i="1" s="1"/>
  <c r="AF67" i="1" s="1"/>
  <c r="AF68" i="1" s="1"/>
  <c r="AF69" i="1" s="1"/>
  <c r="AF70" i="1" s="1"/>
  <c r="AF71" i="1" s="1"/>
  <c r="AF72" i="1" s="1"/>
  <c r="AF73" i="1" s="1"/>
  <c r="AF74" i="1" s="1"/>
  <c r="AF75" i="1" s="1"/>
  <c r="AF76" i="1" s="1"/>
  <c r="AF77" i="1" s="1"/>
  <c r="AF78" i="1" s="1"/>
  <c r="AF79" i="1" s="1"/>
  <c r="AF80" i="1" s="1"/>
  <c r="AF81" i="1" s="1"/>
  <c r="AF82" i="1" s="1"/>
  <c r="AF83" i="1" s="1"/>
  <c r="AF84" i="1" s="1"/>
  <c r="AF85" i="1" s="1"/>
  <c r="AF86" i="1" s="1"/>
  <c r="AF87" i="1" s="1"/>
  <c r="AF88" i="1" s="1"/>
  <c r="AF89" i="1" s="1"/>
  <c r="AF90" i="1" s="1"/>
  <c r="AF91" i="1" s="1"/>
  <c r="AF92" i="1" s="1"/>
  <c r="AF93" i="1" s="1"/>
  <c r="AF94" i="1" s="1"/>
  <c r="AF95" i="1" s="1"/>
  <c r="AF96" i="1" s="1"/>
  <c r="AF97" i="1" s="1"/>
  <c r="AF98" i="1" s="1"/>
  <c r="AF99" i="1" s="1"/>
  <c r="AF100" i="1" s="1"/>
  <c r="AF101" i="1" s="1"/>
  <c r="AF102" i="1" s="1"/>
  <c r="AF103" i="1" s="1"/>
  <c r="AF104" i="1" s="1"/>
  <c r="AF105" i="1" s="1"/>
  <c r="AF106" i="1" s="1"/>
  <c r="AF107" i="1" s="1"/>
  <c r="AF108" i="1" s="1"/>
  <c r="AF109" i="1" s="1"/>
  <c r="AF110" i="1" s="1"/>
  <c r="AF111" i="1" s="1"/>
  <c r="AF112" i="1" s="1"/>
  <c r="AF113" i="1" s="1"/>
  <c r="AF114" i="1" s="1"/>
  <c r="AF115" i="1" s="1"/>
  <c r="AF116" i="1" s="1"/>
  <c r="AF117" i="1" s="1"/>
  <c r="AF118" i="1" s="1"/>
  <c r="AF119" i="1" s="1"/>
  <c r="AF120" i="1" s="1"/>
  <c r="AF121" i="1" s="1"/>
  <c r="AF122" i="1" s="1"/>
  <c r="AF123" i="1" s="1"/>
  <c r="AF124" i="1" s="1"/>
  <c r="AB4" i="1"/>
  <c r="AB5" i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AB67" i="1" s="1"/>
  <c r="AB68" i="1" s="1"/>
  <c r="AB69" i="1" s="1"/>
  <c r="AB70" i="1" s="1"/>
  <c r="AB71" i="1" s="1"/>
  <c r="AB72" i="1" s="1"/>
  <c r="AB73" i="1" s="1"/>
  <c r="AB74" i="1" s="1"/>
  <c r="AB75" i="1" s="1"/>
  <c r="AB76" i="1" s="1"/>
  <c r="AB77" i="1" s="1"/>
  <c r="AB78" i="1" s="1"/>
  <c r="AB79" i="1" s="1"/>
  <c r="AB80" i="1" s="1"/>
  <c r="AB81" i="1" s="1"/>
  <c r="AB82" i="1" s="1"/>
  <c r="AB83" i="1" s="1"/>
  <c r="AB84" i="1" s="1"/>
  <c r="AB85" i="1" s="1"/>
  <c r="AB86" i="1" s="1"/>
  <c r="AB87" i="1" s="1"/>
  <c r="AB88" i="1" s="1"/>
  <c r="AB89" i="1" s="1"/>
  <c r="AB90" i="1" s="1"/>
  <c r="AB91" i="1" s="1"/>
  <c r="AB92" i="1" s="1"/>
  <c r="AB93" i="1" s="1"/>
  <c r="AB94" i="1" s="1"/>
  <c r="AB95" i="1" s="1"/>
  <c r="AB96" i="1" s="1"/>
  <c r="AB97" i="1" s="1"/>
  <c r="AB98" i="1" s="1"/>
  <c r="AB99" i="1" s="1"/>
  <c r="AB100" i="1" s="1"/>
  <c r="AB101" i="1" s="1"/>
  <c r="AB102" i="1" s="1"/>
  <c r="AB103" i="1" s="1"/>
  <c r="AB104" i="1" s="1"/>
  <c r="AB105" i="1" s="1"/>
  <c r="AB106" i="1" s="1"/>
  <c r="AB107" i="1" s="1"/>
  <c r="AB108" i="1" s="1"/>
  <c r="AB109" i="1" s="1"/>
  <c r="AB110" i="1" s="1"/>
  <c r="AB111" i="1" s="1"/>
  <c r="AB112" i="1" s="1"/>
  <c r="AB113" i="1" s="1"/>
  <c r="AB114" i="1" s="1"/>
  <c r="AB115" i="1" s="1"/>
  <c r="AB116" i="1" s="1"/>
  <c r="AB117" i="1" s="1"/>
  <c r="AB118" i="1" s="1"/>
  <c r="AB119" i="1" s="1"/>
  <c r="AB120" i="1" s="1"/>
  <c r="AB121" i="1" s="1"/>
  <c r="AB122" i="1" s="1"/>
  <c r="AB123" i="1" s="1"/>
  <c r="AB124" i="1" s="1"/>
  <c r="AB3" i="1"/>
  <c r="X4" i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3" i="1"/>
  <c r="T4" i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3" i="1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3" i="1"/>
  <c r="L4" i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3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3" i="1"/>
  <c r="D30" i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4" i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" i="1"/>
  <c r="V127" i="1"/>
  <c r="Z127" i="1"/>
  <c r="AD127" i="1"/>
  <c r="BB127" i="1"/>
  <c r="BF127" i="1"/>
  <c r="BJ127" i="1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33" i="2"/>
  <c r="D135" i="2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34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33" i="2"/>
  <c r="B133" i="2" a="1"/>
  <c r="B133" i="2" s="1"/>
  <c r="A133" i="2" a="1"/>
  <c r="A133" i="2" s="1"/>
  <c r="B127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C126" i="2"/>
  <c r="B126" i="2"/>
  <c r="B128" i="2" s="1"/>
  <c r="BZ126" i="1"/>
  <c r="BZ128" i="1" s="1"/>
  <c r="BV126" i="1"/>
  <c r="BV127" i="1" s="1"/>
  <c r="BR126" i="1"/>
  <c r="BR128" i="1" s="1"/>
  <c r="BN126" i="1"/>
  <c r="BN128" i="1" s="1"/>
  <c r="BJ126" i="1"/>
  <c r="BF126" i="1"/>
  <c r="BB126" i="1"/>
  <c r="AX126" i="1"/>
  <c r="AX128" i="1" s="1"/>
  <c r="AT126" i="1"/>
  <c r="AT128" i="1" s="1"/>
  <c r="AP126" i="1"/>
  <c r="AP127" i="1" s="1"/>
  <c r="AL126" i="1"/>
  <c r="AL128" i="1" s="1"/>
  <c r="AH126" i="1"/>
  <c r="AH127" i="1" s="1"/>
  <c r="AD126" i="1"/>
  <c r="Z126" i="1"/>
  <c r="V126" i="1"/>
  <c r="R126" i="1"/>
  <c r="R128" i="1" s="1"/>
  <c r="N126" i="1"/>
  <c r="N128" i="1" s="1"/>
  <c r="J126" i="1"/>
  <c r="J127" i="1" s="1"/>
  <c r="F126" i="1"/>
  <c r="F128" i="1" s="1"/>
  <c r="B126" i="1"/>
  <c r="B127" i="1" s="1"/>
  <c r="BZ125" i="1"/>
  <c r="BV125" i="1"/>
  <c r="BR125" i="1"/>
  <c r="BN125" i="1"/>
  <c r="BJ125" i="1"/>
  <c r="BF125" i="1"/>
  <c r="BB125" i="1"/>
  <c r="AX125" i="1"/>
  <c r="AT125" i="1"/>
  <c r="AP125" i="1"/>
  <c r="AL125" i="1"/>
  <c r="AH125" i="1"/>
  <c r="AD125" i="1"/>
  <c r="Z125" i="1"/>
  <c r="V125" i="1"/>
  <c r="R125" i="1"/>
  <c r="N125" i="1"/>
  <c r="J125" i="1"/>
  <c r="K53" i="1" s="1"/>
  <c r="F125" i="1"/>
  <c r="G48" i="1" s="1"/>
  <c r="B125" i="1"/>
  <c r="C16" i="1" s="1"/>
  <c r="AX127" i="1" l="1"/>
  <c r="R127" i="1"/>
  <c r="BZ127" i="1"/>
  <c r="AT127" i="1"/>
  <c r="N127" i="1"/>
  <c r="BR127" i="1"/>
  <c r="AL127" i="1"/>
  <c r="F127" i="1"/>
  <c r="BN127" i="1"/>
  <c r="G92" i="1"/>
  <c r="G26" i="1"/>
  <c r="C108" i="1"/>
  <c r="K86" i="1"/>
  <c r="C76" i="1"/>
  <c r="K22" i="1"/>
  <c r="G11" i="1"/>
  <c r="C44" i="1"/>
  <c r="C12" i="1"/>
  <c r="G100" i="1"/>
  <c r="B130" i="2"/>
  <c r="B129" i="2"/>
  <c r="C41" i="1"/>
  <c r="C104" i="1"/>
  <c r="C8" i="1"/>
  <c r="C96" i="1"/>
  <c r="C64" i="1"/>
  <c r="C32" i="1"/>
  <c r="G123" i="1"/>
  <c r="G75" i="1"/>
  <c r="K101" i="1"/>
  <c r="C73" i="1"/>
  <c r="BB128" i="1"/>
  <c r="BE2" i="1" s="1"/>
  <c r="C72" i="1"/>
  <c r="G91" i="1"/>
  <c r="C124" i="1"/>
  <c r="C92" i="1"/>
  <c r="C60" i="1"/>
  <c r="C28" i="1"/>
  <c r="G119" i="1"/>
  <c r="G68" i="1"/>
  <c r="C121" i="1"/>
  <c r="C89" i="1"/>
  <c r="C57" i="1"/>
  <c r="C25" i="1"/>
  <c r="G116" i="1"/>
  <c r="G58" i="1"/>
  <c r="K70" i="1"/>
  <c r="C105" i="1"/>
  <c r="C9" i="1"/>
  <c r="G10" i="1"/>
  <c r="C120" i="1"/>
  <c r="C88" i="1"/>
  <c r="C56" i="1"/>
  <c r="C24" i="1"/>
  <c r="G115" i="1"/>
  <c r="G57" i="1"/>
  <c r="K69" i="1"/>
  <c r="C40" i="1"/>
  <c r="B128" i="1"/>
  <c r="E2" i="1" s="1"/>
  <c r="C112" i="1"/>
  <c r="C80" i="1"/>
  <c r="C48" i="1"/>
  <c r="G107" i="1"/>
  <c r="G35" i="1"/>
  <c r="K37" i="1"/>
  <c r="O2" i="1"/>
  <c r="O10" i="1"/>
  <c r="O18" i="1"/>
  <c r="O26" i="1"/>
  <c r="O34" i="1"/>
  <c r="O42" i="1"/>
  <c r="O50" i="1"/>
  <c r="O58" i="1"/>
  <c r="O66" i="1"/>
  <c r="O74" i="1"/>
  <c r="O82" i="1"/>
  <c r="O90" i="1"/>
  <c r="O98" i="1"/>
  <c r="O106" i="1"/>
  <c r="O114" i="1"/>
  <c r="O122" i="1"/>
  <c r="O5" i="1"/>
  <c r="O13" i="1"/>
  <c r="O21" i="1"/>
  <c r="O29" i="1"/>
  <c r="O37" i="1"/>
  <c r="O45" i="1"/>
  <c r="O53" i="1"/>
  <c r="O61" i="1"/>
  <c r="O69" i="1"/>
  <c r="O77" i="1"/>
  <c r="O85" i="1"/>
  <c r="O93" i="1"/>
  <c r="O101" i="1"/>
  <c r="O109" i="1"/>
  <c r="O117" i="1"/>
  <c r="O6" i="1"/>
  <c r="O14" i="1"/>
  <c r="O22" i="1"/>
  <c r="O30" i="1"/>
  <c r="O38" i="1"/>
  <c r="O46" i="1"/>
  <c r="O54" i="1"/>
  <c r="O62" i="1"/>
  <c r="O70" i="1"/>
  <c r="O78" i="1"/>
  <c r="O86" i="1"/>
  <c r="O94" i="1"/>
  <c r="O102" i="1"/>
  <c r="O110" i="1"/>
  <c r="O118" i="1"/>
  <c r="O7" i="1"/>
  <c r="O15" i="1"/>
  <c r="O23" i="1"/>
  <c r="O31" i="1"/>
  <c r="O39" i="1"/>
  <c r="O47" i="1"/>
  <c r="O55" i="1"/>
  <c r="O63" i="1"/>
  <c r="O71" i="1"/>
  <c r="O79" i="1"/>
  <c r="O87" i="1"/>
  <c r="O95" i="1"/>
  <c r="O103" i="1"/>
  <c r="O111" i="1"/>
  <c r="O119" i="1"/>
  <c r="O3" i="1"/>
  <c r="O19" i="1"/>
  <c r="O35" i="1"/>
  <c r="O51" i="1"/>
  <c r="O67" i="1"/>
  <c r="O83" i="1"/>
  <c r="O99" i="1"/>
  <c r="O115" i="1"/>
  <c r="O4" i="1"/>
  <c r="O20" i="1"/>
  <c r="O36" i="1"/>
  <c r="O52" i="1"/>
  <c r="O68" i="1"/>
  <c r="O84" i="1"/>
  <c r="O100" i="1"/>
  <c r="O116" i="1"/>
  <c r="O8" i="1"/>
  <c r="O24" i="1"/>
  <c r="O40" i="1"/>
  <c r="O56" i="1"/>
  <c r="O72" i="1"/>
  <c r="O88" i="1"/>
  <c r="O104" i="1"/>
  <c r="O120" i="1"/>
  <c r="O9" i="1"/>
  <c r="O25" i="1"/>
  <c r="O41" i="1"/>
  <c r="O57" i="1"/>
  <c r="O73" i="1"/>
  <c r="O89" i="1"/>
  <c r="O105" i="1"/>
  <c r="O121" i="1"/>
  <c r="O11" i="1"/>
  <c r="O27" i="1"/>
  <c r="O43" i="1"/>
  <c r="O59" i="1"/>
  <c r="O75" i="1"/>
  <c r="O91" i="1"/>
  <c r="O107" i="1"/>
  <c r="O123" i="1"/>
  <c r="O12" i="1"/>
  <c r="O28" i="1"/>
  <c r="O44" i="1"/>
  <c r="O60" i="1"/>
  <c r="O76" i="1"/>
  <c r="O92" i="1"/>
  <c r="O108" i="1"/>
  <c r="O124" i="1"/>
  <c r="O16" i="1"/>
  <c r="O32" i="1"/>
  <c r="O48" i="1"/>
  <c r="O64" i="1"/>
  <c r="O80" i="1"/>
  <c r="O96" i="1"/>
  <c r="O112" i="1"/>
  <c r="O17" i="1"/>
  <c r="O33" i="1"/>
  <c r="O49" i="1"/>
  <c r="O65" i="1"/>
  <c r="O81" i="1"/>
  <c r="O97" i="1"/>
  <c r="O113" i="1"/>
  <c r="CA8" i="1"/>
  <c r="CA16" i="1"/>
  <c r="CA24" i="1"/>
  <c r="CA32" i="1"/>
  <c r="CA40" i="1"/>
  <c r="CA48" i="1"/>
  <c r="CA56" i="1"/>
  <c r="CA64" i="1"/>
  <c r="CA72" i="1"/>
  <c r="CA80" i="1"/>
  <c r="CA88" i="1"/>
  <c r="CA96" i="1"/>
  <c r="CA104" i="1"/>
  <c r="CA112" i="1"/>
  <c r="CA120" i="1"/>
  <c r="CA9" i="1"/>
  <c r="CA17" i="1"/>
  <c r="CA25" i="1"/>
  <c r="CA33" i="1"/>
  <c r="CA41" i="1"/>
  <c r="CA49" i="1"/>
  <c r="CA57" i="1"/>
  <c r="CA65" i="1"/>
  <c r="CA73" i="1"/>
  <c r="CA81" i="1"/>
  <c r="CA89" i="1"/>
  <c r="CA97" i="1"/>
  <c r="CA105" i="1"/>
  <c r="CA113" i="1"/>
  <c r="CA121" i="1"/>
  <c r="CA2" i="1"/>
  <c r="CA4" i="1"/>
  <c r="CA5" i="1"/>
  <c r="CA15" i="1"/>
  <c r="CA27" i="1"/>
  <c r="CA37" i="1"/>
  <c r="CA47" i="1"/>
  <c r="CA59" i="1"/>
  <c r="CA69" i="1"/>
  <c r="CA79" i="1"/>
  <c r="CA91" i="1"/>
  <c r="CA101" i="1"/>
  <c r="CA111" i="1"/>
  <c r="CA123" i="1"/>
  <c r="CA7" i="1"/>
  <c r="CA19" i="1"/>
  <c r="CA29" i="1"/>
  <c r="CA39" i="1"/>
  <c r="CA51" i="1"/>
  <c r="CA61" i="1"/>
  <c r="CA71" i="1"/>
  <c r="CA83" i="1"/>
  <c r="CA93" i="1"/>
  <c r="CA103" i="1"/>
  <c r="CA115" i="1"/>
  <c r="CA3" i="1"/>
  <c r="CA20" i="1"/>
  <c r="CA34" i="1"/>
  <c r="CA46" i="1"/>
  <c r="CA62" i="1"/>
  <c r="CA76" i="1"/>
  <c r="CA90" i="1"/>
  <c r="CA106" i="1"/>
  <c r="CA118" i="1"/>
  <c r="CA11" i="1"/>
  <c r="CA23" i="1"/>
  <c r="CA38" i="1"/>
  <c r="CA53" i="1"/>
  <c r="CA67" i="1"/>
  <c r="CA82" i="1"/>
  <c r="CA95" i="1"/>
  <c r="CA109" i="1"/>
  <c r="CA124" i="1"/>
  <c r="CA12" i="1"/>
  <c r="CA26" i="1"/>
  <c r="CA42" i="1"/>
  <c r="CA54" i="1"/>
  <c r="CA68" i="1"/>
  <c r="CA84" i="1"/>
  <c r="CA98" i="1"/>
  <c r="CA110" i="1"/>
  <c r="CA13" i="1"/>
  <c r="CA28" i="1"/>
  <c r="CA43" i="1"/>
  <c r="CA55" i="1"/>
  <c r="CA70" i="1"/>
  <c r="CA85" i="1"/>
  <c r="CA99" i="1"/>
  <c r="CA114" i="1"/>
  <c r="CA6" i="1"/>
  <c r="CA35" i="1"/>
  <c r="CA63" i="1"/>
  <c r="CA92" i="1"/>
  <c r="CA119" i="1"/>
  <c r="CA18" i="1"/>
  <c r="CA45" i="1"/>
  <c r="CA75" i="1"/>
  <c r="CA102" i="1"/>
  <c r="CA21" i="1"/>
  <c r="CA50" i="1"/>
  <c r="CA77" i="1"/>
  <c r="CA107" i="1"/>
  <c r="CA22" i="1"/>
  <c r="CA52" i="1"/>
  <c r="CA78" i="1"/>
  <c r="CA108" i="1"/>
  <c r="CA10" i="1"/>
  <c r="CA66" i="1"/>
  <c r="CA122" i="1"/>
  <c r="CA14" i="1"/>
  <c r="CA74" i="1"/>
  <c r="CA30" i="1"/>
  <c r="CA86" i="1"/>
  <c r="CA31" i="1"/>
  <c r="CA87" i="1"/>
  <c r="CA36" i="1"/>
  <c r="CA94" i="1"/>
  <c r="CA44" i="1"/>
  <c r="CA100" i="1"/>
  <c r="CA58" i="1"/>
  <c r="CA60" i="1"/>
  <c r="CA116" i="1"/>
  <c r="CA117" i="1"/>
  <c r="J128" i="1"/>
  <c r="M2" i="1" s="1"/>
  <c r="AD128" i="1"/>
  <c r="AG2" i="1" s="1"/>
  <c r="AH128" i="1"/>
  <c r="C2" i="1"/>
  <c r="C10" i="1"/>
  <c r="C18" i="1"/>
  <c r="C26" i="1"/>
  <c r="C34" i="1"/>
  <c r="C42" i="1"/>
  <c r="C50" i="1"/>
  <c r="C58" i="1"/>
  <c r="C66" i="1"/>
  <c r="C74" i="1"/>
  <c r="C82" i="1"/>
  <c r="C90" i="1"/>
  <c r="C98" i="1"/>
  <c r="C106" i="1"/>
  <c r="C114" i="1"/>
  <c r="C122" i="1"/>
  <c r="C5" i="1"/>
  <c r="C13" i="1"/>
  <c r="C21" i="1"/>
  <c r="C29" i="1"/>
  <c r="C37" i="1"/>
  <c r="C45" i="1"/>
  <c r="C53" i="1"/>
  <c r="C61" i="1"/>
  <c r="C69" i="1"/>
  <c r="C77" i="1"/>
  <c r="C85" i="1"/>
  <c r="C93" i="1"/>
  <c r="C101" i="1"/>
  <c r="C109" i="1"/>
  <c r="C117" i="1"/>
  <c r="C6" i="1"/>
  <c r="C14" i="1"/>
  <c r="C22" i="1"/>
  <c r="C30" i="1"/>
  <c r="C38" i="1"/>
  <c r="C46" i="1"/>
  <c r="C54" i="1"/>
  <c r="C62" i="1"/>
  <c r="C70" i="1"/>
  <c r="C78" i="1"/>
  <c r="C86" i="1"/>
  <c r="C94" i="1"/>
  <c r="C102" i="1"/>
  <c r="C110" i="1"/>
  <c r="C118" i="1"/>
  <c r="C7" i="1"/>
  <c r="C15" i="1"/>
  <c r="C23" i="1"/>
  <c r="C31" i="1"/>
  <c r="C39" i="1"/>
  <c r="C47" i="1"/>
  <c r="C55" i="1"/>
  <c r="C63" i="1"/>
  <c r="C71" i="1"/>
  <c r="C79" i="1"/>
  <c r="C87" i="1"/>
  <c r="C95" i="1"/>
  <c r="C103" i="1"/>
  <c r="C111" i="1"/>
  <c r="C119" i="1"/>
  <c r="C116" i="1"/>
  <c r="C100" i="1"/>
  <c r="C84" i="1"/>
  <c r="C68" i="1"/>
  <c r="C52" i="1"/>
  <c r="C36" i="1"/>
  <c r="C20" i="1"/>
  <c r="C4" i="1"/>
  <c r="G111" i="1"/>
  <c r="G84" i="1"/>
  <c r="K118" i="1"/>
  <c r="K54" i="1"/>
  <c r="AU2" i="1"/>
  <c r="AU10" i="1"/>
  <c r="AU18" i="1"/>
  <c r="AU26" i="1"/>
  <c r="AU34" i="1"/>
  <c r="AU42" i="1"/>
  <c r="AU50" i="1"/>
  <c r="AU58" i="1"/>
  <c r="AU66" i="1"/>
  <c r="AU74" i="1"/>
  <c r="AU82" i="1"/>
  <c r="AU90" i="1"/>
  <c r="AU98" i="1"/>
  <c r="AU106" i="1"/>
  <c r="AU114" i="1"/>
  <c r="AU122" i="1"/>
  <c r="AU5" i="1"/>
  <c r="AU13" i="1"/>
  <c r="AU21" i="1"/>
  <c r="AU29" i="1"/>
  <c r="AU37" i="1"/>
  <c r="AU45" i="1"/>
  <c r="AU53" i="1"/>
  <c r="AU61" i="1"/>
  <c r="AU69" i="1"/>
  <c r="AU77" i="1"/>
  <c r="AU85" i="1"/>
  <c r="AU93" i="1"/>
  <c r="AU101" i="1"/>
  <c r="AU109" i="1"/>
  <c r="AU117" i="1"/>
  <c r="AU6" i="1"/>
  <c r="AU14" i="1"/>
  <c r="AU22" i="1"/>
  <c r="AU30" i="1"/>
  <c r="AU38" i="1"/>
  <c r="AU46" i="1"/>
  <c r="AU54" i="1"/>
  <c r="AU62" i="1"/>
  <c r="AU70" i="1"/>
  <c r="AU78" i="1"/>
  <c r="AU86" i="1"/>
  <c r="AU94" i="1"/>
  <c r="AU102" i="1"/>
  <c r="AU110" i="1"/>
  <c r="AU118" i="1"/>
  <c r="AU7" i="1"/>
  <c r="AU15" i="1"/>
  <c r="AU23" i="1"/>
  <c r="AU31" i="1"/>
  <c r="AU39" i="1"/>
  <c r="AU47" i="1"/>
  <c r="AU55" i="1"/>
  <c r="AU63" i="1"/>
  <c r="AU71" i="1"/>
  <c r="AU79" i="1"/>
  <c r="AU87" i="1"/>
  <c r="AU95" i="1"/>
  <c r="AU103" i="1"/>
  <c r="AU111" i="1"/>
  <c r="AU119" i="1"/>
  <c r="AU11" i="1"/>
  <c r="AU27" i="1"/>
  <c r="AU43" i="1"/>
  <c r="AU59" i="1"/>
  <c r="AU75" i="1"/>
  <c r="AU91" i="1"/>
  <c r="AU107" i="1"/>
  <c r="AU123" i="1"/>
  <c r="AU16" i="1"/>
  <c r="AU17" i="1"/>
  <c r="AU33" i="1"/>
  <c r="AU49" i="1"/>
  <c r="AU65" i="1"/>
  <c r="AU81" i="1"/>
  <c r="AU97" i="1"/>
  <c r="AU113" i="1"/>
  <c r="AU3" i="1"/>
  <c r="AU19" i="1"/>
  <c r="AU35" i="1"/>
  <c r="AU51" i="1"/>
  <c r="AU67" i="1"/>
  <c r="AU83" i="1"/>
  <c r="AU99" i="1"/>
  <c r="AU115" i="1"/>
  <c r="AU4" i="1"/>
  <c r="AU20" i="1"/>
  <c r="AU36" i="1"/>
  <c r="AU52" i="1"/>
  <c r="AU68" i="1"/>
  <c r="AU84" i="1"/>
  <c r="AU100" i="1"/>
  <c r="AU116" i="1"/>
  <c r="AU9" i="1"/>
  <c r="AU44" i="1"/>
  <c r="AU76" i="1"/>
  <c r="AU108" i="1"/>
  <c r="AU12" i="1"/>
  <c r="AU48" i="1"/>
  <c r="AU80" i="1"/>
  <c r="AU112" i="1"/>
  <c r="AU24" i="1"/>
  <c r="AU56" i="1"/>
  <c r="AU88" i="1"/>
  <c r="AU120" i="1"/>
  <c r="AU25" i="1"/>
  <c r="AU57" i="1"/>
  <c r="AU89" i="1"/>
  <c r="AU121" i="1"/>
  <c r="AU28" i="1"/>
  <c r="AU60" i="1"/>
  <c r="AU92" i="1"/>
  <c r="AU124" i="1"/>
  <c r="AU32" i="1"/>
  <c r="AU64" i="1"/>
  <c r="AU96" i="1"/>
  <c r="AU40" i="1"/>
  <c r="AU72" i="1"/>
  <c r="AU104" i="1"/>
  <c r="AU8" i="1"/>
  <c r="AU41" i="1"/>
  <c r="AU73" i="1"/>
  <c r="AU105" i="1"/>
  <c r="AA3" i="1"/>
  <c r="AA11" i="1"/>
  <c r="AA19" i="1"/>
  <c r="AA27" i="1"/>
  <c r="AA35" i="1"/>
  <c r="AA43" i="1"/>
  <c r="AA51" i="1"/>
  <c r="AA59" i="1"/>
  <c r="AA67" i="1"/>
  <c r="AA75" i="1"/>
  <c r="AA83" i="1"/>
  <c r="AA91" i="1"/>
  <c r="AA99" i="1"/>
  <c r="AA107" i="1"/>
  <c r="AA115" i="1"/>
  <c r="AA123" i="1"/>
  <c r="AA6" i="1"/>
  <c r="AA14" i="1"/>
  <c r="AA22" i="1"/>
  <c r="AA30" i="1"/>
  <c r="AA38" i="1"/>
  <c r="AA46" i="1"/>
  <c r="AA54" i="1"/>
  <c r="AA62" i="1"/>
  <c r="AA70" i="1"/>
  <c r="AA78" i="1"/>
  <c r="AA86" i="1"/>
  <c r="AA94" i="1"/>
  <c r="AA102" i="1"/>
  <c r="AA110" i="1"/>
  <c r="AA118" i="1"/>
  <c r="AA7" i="1"/>
  <c r="AA15" i="1"/>
  <c r="AA23" i="1"/>
  <c r="AA31" i="1"/>
  <c r="AA39" i="1"/>
  <c r="AA47" i="1"/>
  <c r="AA55" i="1"/>
  <c r="AA63" i="1"/>
  <c r="AA71" i="1"/>
  <c r="AA79" i="1"/>
  <c r="AA87" i="1"/>
  <c r="AA95" i="1"/>
  <c r="AA103" i="1"/>
  <c r="AA111" i="1"/>
  <c r="AA119" i="1"/>
  <c r="AA8" i="1"/>
  <c r="AA16" i="1"/>
  <c r="AA24" i="1"/>
  <c r="AA32" i="1"/>
  <c r="AA40" i="1"/>
  <c r="AA48" i="1"/>
  <c r="AA56" i="1"/>
  <c r="AA64" i="1"/>
  <c r="AA72" i="1"/>
  <c r="AA80" i="1"/>
  <c r="AA88" i="1"/>
  <c r="AA96" i="1"/>
  <c r="AA104" i="1"/>
  <c r="AA112" i="1"/>
  <c r="AA120" i="1"/>
  <c r="AA4" i="1"/>
  <c r="AA20" i="1"/>
  <c r="AA36" i="1"/>
  <c r="AA52" i="1"/>
  <c r="AA68" i="1"/>
  <c r="AA84" i="1"/>
  <c r="AA100" i="1"/>
  <c r="AA116" i="1"/>
  <c r="AA5" i="1"/>
  <c r="AA21" i="1"/>
  <c r="AA37" i="1"/>
  <c r="AA53" i="1"/>
  <c r="AA69" i="1"/>
  <c r="AA85" i="1"/>
  <c r="AA101" i="1"/>
  <c r="AA117" i="1"/>
  <c r="AA9" i="1"/>
  <c r="AA25" i="1"/>
  <c r="AA41" i="1"/>
  <c r="AA57" i="1"/>
  <c r="AA73" i="1"/>
  <c r="AA89" i="1"/>
  <c r="AA105" i="1"/>
  <c r="AA121" i="1"/>
  <c r="AA10" i="1"/>
  <c r="AA26" i="1"/>
  <c r="AA42" i="1"/>
  <c r="AA58" i="1"/>
  <c r="AA74" i="1"/>
  <c r="AA90" i="1"/>
  <c r="AA106" i="1"/>
  <c r="AA122" i="1"/>
  <c r="AA12" i="1"/>
  <c r="AA28" i="1"/>
  <c r="AA44" i="1"/>
  <c r="AA60" i="1"/>
  <c r="AA76" i="1"/>
  <c r="AA92" i="1"/>
  <c r="AA108" i="1"/>
  <c r="AA124" i="1"/>
  <c r="AA13" i="1"/>
  <c r="AA29" i="1"/>
  <c r="AA45" i="1"/>
  <c r="AA61" i="1"/>
  <c r="AA77" i="1"/>
  <c r="AA93" i="1"/>
  <c r="AA109" i="1"/>
  <c r="AA17" i="1"/>
  <c r="AA33" i="1"/>
  <c r="AA49" i="1"/>
  <c r="AA65" i="1"/>
  <c r="AA81" i="1"/>
  <c r="AA97" i="1"/>
  <c r="AA113" i="1"/>
  <c r="AA2" i="1"/>
  <c r="AA18" i="1"/>
  <c r="AA34" i="1"/>
  <c r="AA50" i="1"/>
  <c r="AA66" i="1"/>
  <c r="AA82" i="1"/>
  <c r="AA98" i="1"/>
  <c r="AA114" i="1"/>
  <c r="AP128" i="1"/>
  <c r="AS2" i="1" s="1"/>
  <c r="AE6" i="1"/>
  <c r="AE14" i="1"/>
  <c r="AE22" i="1"/>
  <c r="AE30" i="1"/>
  <c r="AE38" i="1"/>
  <c r="AE46" i="1"/>
  <c r="AE54" i="1"/>
  <c r="AE62" i="1"/>
  <c r="AE70" i="1"/>
  <c r="AE78" i="1"/>
  <c r="AE86" i="1"/>
  <c r="AE94" i="1"/>
  <c r="AE102" i="1"/>
  <c r="AE110" i="1"/>
  <c r="AE118" i="1"/>
  <c r="AE9" i="1"/>
  <c r="AE17" i="1"/>
  <c r="AE25" i="1"/>
  <c r="AE33" i="1"/>
  <c r="AE41" i="1"/>
  <c r="AE49" i="1"/>
  <c r="AE57" i="1"/>
  <c r="AE65" i="1"/>
  <c r="AE73" i="1"/>
  <c r="AE81" i="1"/>
  <c r="AE89" i="1"/>
  <c r="AE97" i="1"/>
  <c r="AE105" i="1"/>
  <c r="AE113" i="1"/>
  <c r="AE121" i="1"/>
  <c r="AE2" i="1"/>
  <c r="AE10" i="1"/>
  <c r="AE18" i="1"/>
  <c r="AE26" i="1"/>
  <c r="AE34" i="1"/>
  <c r="AE42" i="1"/>
  <c r="AE50" i="1"/>
  <c r="AE58" i="1"/>
  <c r="AE66" i="1"/>
  <c r="AE74" i="1"/>
  <c r="AE82" i="1"/>
  <c r="AE90" i="1"/>
  <c r="AE98" i="1"/>
  <c r="AE106" i="1"/>
  <c r="AE114" i="1"/>
  <c r="AE122" i="1"/>
  <c r="AE3" i="1"/>
  <c r="AE11" i="1"/>
  <c r="AE19" i="1"/>
  <c r="AE27" i="1"/>
  <c r="AE35" i="1"/>
  <c r="AE43" i="1"/>
  <c r="AE51" i="1"/>
  <c r="AE59" i="1"/>
  <c r="AE67" i="1"/>
  <c r="AE75" i="1"/>
  <c r="AE83" i="1"/>
  <c r="AE91" i="1"/>
  <c r="AE99" i="1"/>
  <c r="AE107" i="1"/>
  <c r="AE115" i="1"/>
  <c r="AE123" i="1"/>
  <c r="AE15" i="1"/>
  <c r="AE31" i="1"/>
  <c r="AE47" i="1"/>
  <c r="AE63" i="1"/>
  <c r="AE79" i="1"/>
  <c r="AE95" i="1"/>
  <c r="AE111" i="1"/>
  <c r="AE16" i="1"/>
  <c r="AE32" i="1"/>
  <c r="AE48" i="1"/>
  <c r="AE64" i="1"/>
  <c r="AE80" i="1"/>
  <c r="AE96" i="1"/>
  <c r="AE112" i="1"/>
  <c r="AE4" i="1"/>
  <c r="AE20" i="1"/>
  <c r="AE36" i="1"/>
  <c r="AE52" i="1"/>
  <c r="AE68" i="1"/>
  <c r="AE84" i="1"/>
  <c r="AE100" i="1"/>
  <c r="AE116" i="1"/>
  <c r="AE5" i="1"/>
  <c r="AE21" i="1"/>
  <c r="AE37" i="1"/>
  <c r="AE53" i="1"/>
  <c r="AE69" i="1"/>
  <c r="AE85" i="1"/>
  <c r="AE101" i="1"/>
  <c r="AE117" i="1"/>
  <c r="AE7" i="1"/>
  <c r="AE23" i="1"/>
  <c r="AE39" i="1"/>
  <c r="AE55" i="1"/>
  <c r="AE71" i="1"/>
  <c r="AE87" i="1"/>
  <c r="AE103" i="1"/>
  <c r="AE119" i="1"/>
  <c r="AE8" i="1"/>
  <c r="AE24" i="1"/>
  <c r="AE40" i="1"/>
  <c r="AE56" i="1"/>
  <c r="AE72" i="1"/>
  <c r="AE88" i="1"/>
  <c r="AE104" i="1"/>
  <c r="AE120" i="1"/>
  <c r="AE12" i="1"/>
  <c r="AE28" i="1"/>
  <c r="AE44" i="1"/>
  <c r="AE60" i="1"/>
  <c r="AE76" i="1"/>
  <c r="AE92" i="1"/>
  <c r="AE108" i="1"/>
  <c r="AE124" i="1"/>
  <c r="AE13" i="1"/>
  <c r="AE29" i="1"/>
  <c r="AE45" i="1"/>
  <c r="AE61" i="1"/>
  <c r="AE77" i="1"/>
  <c r="AE93" i="1"/>
  <c r="AE109" i="1"/>
  <c r="BK5" i="1"/>
  <c r="BK13" i="1"/>
  <c r="BK21" i="1"/>
  <c r="BK29" i="1"/>
  <c r="BK37" i="1"/>
  <c r="BK45" i="1"/>
  <c r="BK53" i="1"/>
  <c r="BK61" i="1"/>
  <c r="BK69" i="1"/>
  <c r="BK77" i="1"/>
  <c r="BK85" i="1"/>
  <c r="BK93" i="1"/>
  <c r="BK101" i="1"/>
  <c r="BK109" i="1"/>
  <c r="BK117" i="1"/>
  <c r="BK9" i="1"/>
  <c r="BK18" i="1"/>
  <c r="BK27" i="1"/>
  <c r="BK36" i="1"/>
  <c r="BK46" i="1"/>
  <c r="BK55" i="1"/>
  <c r="BK64" i="1"/>
  <c r="BK73" i="1"/>
  <c r="BK82" i="1"/>
  <c r="BK91" i="1"/>
  <c r="BK100" i="1"/>
  <c r="BK110" i="1"/>
  <c r="BK119" i="1"/>
  <c r="BK2" i="1"/>
  <c r="BK11" i="1"/>
  <c r="BK20" i="1"/>
  <c r="BK30" i="1"/>
  <c r="BK39" i="1"/>
  <c r="BK48" i="1"/>
  <c r="BK57" i="1"/>
  <c r="BK66" i="1"/>
  <c r="BK75" i="1"/>
  <c r="BK84" i="1"/>
  <c r="BK94" i="1"/>
  <c r="BK103" i="1"/>
  <c r="BK112" i="1"/>
  <c r="BK121" i="1"/>
  <c r="BK8" i="1"/>
  <c r="BK22" i="1"/>
  <c r="BK33" i="1"/>
  <c r="BK44" i="1"/>
  <c r="BK58" i="1"/>
  <c r="BK70" i="1"/>
  <c r="BK81" i="1"/>
  <c r="BK95" i="1"/>
  <c r="BK106" i="1"/>
  <c r="BK118" i="1"/>
  <c r="BK14" i="1"/>
  <c r="BK25" i="1"/>
  <c r="BK38" i="1"/>
  <c r="BK50" i="1"/>
  <c r="BK62" i="1"/>
  <c r="BK74" i="1"/>
  <c r="BK87" i="1"/>
  <c r="BK98" i="1"/>
  <c r="BK111" i="1"/>
  <c r="BK123" i="1"/>
  <c r="BK3" i="1"/>
  <c r="BK15" i="1"/>
  <c r="BK26" i="1"/>
  <c r="BK40" i="1"/>
  <c r="BK51" i="1"/>
  <c r="BK63" i="1"/>
  <c r="BK76" i="1"/>
  <c r="BK88" i="1"/>
  <c r="BK99" i="1"/>
  <c r="BK113" i="1"/>
  <c r="BK124" i="1"/>
  <c r="BK4" i="1"/>
  <c r="BK16" i="1"/>
  <c r="BK28" i="1"/>
  <c r="BK41" i="1"/>
  <c r="BK52" i="1"/>
  <c r="BK65" i="1"/>
  <c r="BK78" i="1"/>
  <c r="BK89" i="1"/>
  <c r="BK102" i="1"/>
  <c r="BK114" i="1"/>
  <c r="BK23" i="1"/>
  <c r="BK47" i="1"/>
  <c r="BK71" i="1"/>
  <c r="BK96" i="1"/>
  <c r="BK120" i="1"/>
  <c r="BK7" i="1"/>
  <c r="BK32" i="1"/>
  <c r="BK56" i="1"/>
  <c r="BK80" i="1"/>
  <c r="BK105" i="1"/>
  <c r="BK10" i="1"/>
  <c r="BK34" i="1"/>
  <c r="BK59" i="1"/>
  <c r="BK83" i="1"/>
  <c r="BK107" i="1"/>
  <c r="BK12" i="1"/>
  <c r="BK35" i="1"/>
  <c r="BK60" i="1"/>
  <c r="BK86" i="1"/>
  <c r="BK108" i="1"/>
  <c r="BK24" i="1"/>
  <c r="BK72" i="1"/>
  <c r="BK122" i="1"/>
  <c r="BK31" i="1"/>
  <c r="BK79" i="1"/>
  <c r="BK42" i="1"/>
  <c r="BK90" i="1"/>
  <c r="BK43" i="1"/>
  <c r="BK92" i="1"/>
  <c r="BK49" i="1"/>
  <c r="BK97" i="1"/>
  <c r="BK6" i="1"/>
  <c r="BK54" i="1"/>
  <c r="BK104" i="1"/>
  <c r="BK17" i="1"/>
  <c r="BK19" i="1"/>
  <c r="BK67" i="1"/>
  <c r="BK68" i="1"/>
  <c r="BK115" i="1"/>
  <c r="BK116" i="1"/>
  <c r="AI9" i="1"/>
  <c r="AI17" i="1"/>
  <c r="AI25" i="1"/>
  <c r="AI33" i="1"/>
  <c r="AI41" i="1"/>
  <c r="AI49" i="1"/>
  <c r="AI57" i="1"/>
  <c r="AI65" i="1"/>
  <c r="AI73" i="1"/>
  <c r="AI81" i="1"/>
  <c r="AI89" i="1"/>
  <c r="AI97" i="1"/>
  <c r="AI105" i="1"/>
  <c r="AI113" i="1"/>
  <c r="AI121" i="1"/>
  <c r="AI4" i="1"/>
  <c r="AI12" i="1"/>
  <c r="AI20" i="1"/>
  <c r="AI28" i="1"/>
  <c r="AI36" i="1"/>
  <c r="AI44" i="1"/>
  <c r="AI52" i="1"/>
  <c r="AI60" i="1"/>
  <c r="AI68" i="1"/>
  <c r="AI76" i="1"/>
  <c r="AI84" i="1"/>
  <c r="AI92" i="1"/>
  <c r="AI100" i="1"/>
  <c r="AI108" i="1"/>
  <c r="AI116" i="1"/>
  <c r="AI124" i="1"/>
  <c r="AI5" i="1"/>
  <c r="AI13" i="1"/>
  <c r="AI21" i="1"/>
  <c r="AI29" i="1"/>
  <c r="AI37" i="1"/>
  <c r="AI45" i="1"/>
  <c r="AI53" i="1"/>
  <c r="AI61" i="1"/>
  <c r="AI69" i="1"/>
  <c r="AI77" i="1"/>
  <c r="AI85" i="1"/>
  <c r="AI93" i="1"/>
  <c r="AI101" i="1"/>
  <c r="AI109" i="1"/>
  <c r="AI117" i="1"/>
  <c r="AI6" i="1"/>
  <c r="AI14" i="1"/>
  <c r="AI22" i="1"/>
  <c r="AI30" i="1"/>
  <c r="AI38" i="1"/>
  <c r="AI46" i="1"/>
  <c r="AI54" i="1"/>
  <c r="AI62" i="1"/>
  <c r="AI70" i="1"/>
  <c r="AI78" i="1"/>
  <c r="AI86" i="1"/>
  <c r="AI94" i="1"/>
  <c r="AI102" i="1"/>
  <c r="AI110" i="1"/>
  <c r="AI118" i="1"/>
  <c r="AI10" i="1"/>
  <c r="AI26" i="1"/>
  <c r="AI42" i="1"/>
  <c r="AI58" i="1"/>
  <c r="AI74" i="1"/>
  <c r="AI90" i="1"/>
  <c r="AI106" i="1"/>
  <c r="AI122" i="1"/>
  <c r="AI11" i="1"/>
  <c r="AI27" i="1"/>
  <c r="AI43" i="1"/>
  <c r="AI59" i="1"/>
  <c r="AI75" i="1"/>
  <c r="AI91" i="1"/>
  <c r="AI107" i="1"/>
  <c r="AI123" i="1"/>
  <c r="AI15" i="1"/>
  <c r="AI31" i="1"/>
  <c r="AI47" i="1"/>
  <c r="AI63" i="1"/>
  <c r="AI79" i="1"/>
  <c r="AI95" i="1"/>
  <c r="AI111" i="1"/>
  <c r="AI16" i="1"/>
  <c r="AI32" i="1"/>
  <c r="AI48" i="1"/>
  <c r="AI64" i="1"/>
  <c r="AI80" i="1"/>
  <c r="AI96" i="1"/>
  <c r="AI112" i="1"/>
  <c r="AI2" i="1"/>
  <c r="AI18" i="1"/>
  <c r="AI34" i="1"/>
  <c r="AI50" i="1"/>
  <c r="AI66" i="1"/>
  <c r="AI82" i="1"/>
  <c r="AI98" i="1"/>
  <c r="AI114" i="1"/>
  <c r="AI3" i="1"/>
  <c r="AI19" i="1"/>
  <c r="AI35" i="1"/>
  <c r="AI51" i="1"/>
  <c r="AI67" i="1"/>
  <c r="AI83" i="1"/>
  <c r="AI99" i="1"/>
  <c r="AI115" i="1"/>
  <c r="AI7" i="1"/>
  <c r="AI23" i="1"/>
  <c r="AI39" i="1"/>
  <c r="AI55" i="1"/>
  <c r="AI71" i="1"/>
  <c r="AI87" i="1"/>
  <c r="AI103" i="1"/>
  <c r="AI119" i="1"/>
  <c r="AI8" i="1"/>
  <c r="AI24" i="1"/>
  <c r="AI40" i="1"/>
  <c r="AI56" i="1"/>
  <c r="AI72" i="1"/>
  <c r="AI88" i="1"/>
  <c r="AI104" i="1"/>
  <c r="AI120" i="1"/>
  <c r="G4" i="1"/>
  <c r="G12" i="1"/>
  <c r="G20" i="1"/>
  <c r="G28" i="1"/>
  <c r="G36" i="1"/>
  <c r="G44" i="1"/>
  <c r="G52" i="1"/>
  <c r="G60" i="1"/>
  <c r="G7" i="1"/>
  <c r="G15" i="1"/>
  <c r="G23" i="1"/>
  <c r="G31" i="1"/>
  <c r="G39" i="1"/>
  <c r="G47" i="1"/>
  <c r="G55" i="1"/>
  <c r="G63" i="1"/>
  <c r="G8" i="1"/>
  <c r="G16" i="1"/>
  <c r="G24" i="1"/>
  <c r="G9" i="1"/>
  <c r="G17" i="1"/>
  <c r="G13" i="1"/>
  <c r="G27" i="1"/>
  <c r="G38" i="1"/>
  <c r="G49" i="1"/>
  <c r="G59" i="1"/>
  <c r="G69" i="1"/>
  <c r="G77" i="1"/>
  <c r="G85" i="1"/>
  <c r="G93" i="1"/>
  <c r="G101" i="1"/>
  <c r="G109" i="1"/>
  <c r="G117" i="1"/>
  <c r="G14" i="1"/>
  <c r="G29" i="1"/>
  <c r="G40" i="1"/>
  <c r="G50" i="1"/>
  <c r="G61" i="1"/>
  <c r="G70" i="1"/>
  <c r="G78" i="1"/>
  <c r="G86" i="1"/>
  <c r="G94" i="1"/>
  <c r="G102" i="1"/>
  <c r="G2" i="1"/>
  <c r="G18" i="1"/>
  <c r="G30" i="1"/>
  <c r="G41" i="1"/>
  <c r="G51" i="1"/>
  <c r="G62" i="1"/>
  <c r="G71" i="1"/>
  <c r="G79" i="1"/>
  <c r="G87" i="1"/>
  <c r="G95" i="1"/>
  <c r="G103" i="1"/>
  <c r="G3" i="1"/>
  <c r="G19" i="1"/>
  <c r="G32" i="1"/>
  <c r="G42" i="1"/>
  <c r="G53" i="1"/>
  <c r="G64" i="1"/>
  <c r="G72" i="1"/>
  <c r="G80" i="1"/>
  <c r="G88" i="1"/>
  <c r="G96" i="1"/>
  <c r="G104" i="1"/>
  <c r="G112" i="1"/>
  <c r="G120" i="1"/>
  <c r="G5" i="1"/>
  <c r="G21" i="1"/>
  <c r="G33" i="1"/>
  <c r="G43" i="1"/>
  <c r="G54" i="1"/>
  <c r="G65" i="1"/>
  <c r="G73" i="1"/>
  <c r="G81" i="1"/>
  <c r="G89" i="1"/>
  <c r="G97" i="1"/>
  <c r="G105" i="1"/>
  <c r="G113" i="1"/>
  <c r="G121" i="1"/>
  <c r="G6" i="1"/>
  <c r="G22" i="1"/>
  <c r="G34" i="1"/>
  <c r="G45" i="1"/>
  <c r="G56" i="1"/>
  <c r="G66" i="1"/>
  <c r="G74" i="1"/>
  <c r="G82" i="1"/>
  <c r="G90" i="1"/>
  <c r="G98" i="1"/>
  <c r="G106" i="1"/>
  <c r="G114" i="1"/>
  <c r="G122" i="1"/>
  <c r="AM4" i="1"/>
  <c r="AM12" i="1"/>
  <c r="AM20" i="1"/>
  <c r="AM28" i="1"/>
  <c r="AM36" i="1"/>
  <c r="AM44" i="1"/>
  <c r="AM52" i="1"/>
  <c r="AM60" i="1"/>
  <c r="AM68" i="1"/>
  <c r="AM76" i="1"/>
  <c r="AM84" i="1"/>
  <c r="AM7" i="1"/>
  <c r="AM15" i="1"/>
  <c r="AM23" i="1"/>
  <c r="AM31" i="1"/>
  <c r="AM39" i="1"/>
  <c r="AM47" i="1"/>
  <c r="AM55" i="1"/>
  <c r="AM63" i="1"/>
  <c r="AM71" i="1"/>
  <c r="AM79" i="1"/>
  <c r="AM87" i="1"/>
  <c r="AM8" i="1"/>
  <c r="AM9" i="1"/>
  <c r="AM5" i="1"/>
  <c r="AM18" i="1"/>
  <c r="AM29" i="1"/>
  <c r="AM40" i="1"/>
  <c r="AM50" i="1"/>
  <c r="AM61" i="1"/>
  <c r="AM72" i="1"/>
  <c r="AM82" i="1"/>
  <c r="AM92" i="1"/>
  <c r="AM100" i="1"/>
  <c r="AM108" i="1"/>
  <c r="AM116" i="1"/>
  <c r="AM124" i="1"/>
  <c r="AM11" i="1"/>
  <c r="AM22" i="1"/>
  <c r="AM33" i="1"/>
  <c r="AM43" i="1"/>
  <c r="AM54" i="1"/>
  <c r="AM65" i="1"/>
  <c r="AM75" i="1"/>
  <c r="AM86" i="1"/>
  <c r="AM95" i="1"/>
  <c r="AM103" i="1"/>
  <c r="AM111" i="1"/>
  <c r="AM119" i="1"/>
  <c r="AM13" i="1"/>
  <c r="AM24" i="1"/>
  <c r="AM34" i="1"/>
  <c r="AM45" i="1"/>
  <c r="AM56" i="1"/>
  <c r="AM66" i="1"/>
  <c r="AM77" i="1"/>
  <c r="AM88" i="1"/>
  <c r="AM96" i="1"/>
  <c r="AM104" i="1"/>
  <c r="AM112" i="1"/>
  <c r="AM120" i="1"/>
  <c r="AM14" i="1"/>
  <c r="AM25" i="1"/>
  <c r="AM35" i="1"/>
  <c r="AM46" i="1"/>
  <c r="AM57" i="1"/>
  <c r="AM67" i="1"/>
  <c r="AM78" i="1"/>
  <c r="AM89" i="1"/>
  <c r="AM97" i="1"/>
  <c r="AM105" i="1"/>
  <c r="AM113" i="1"/>
  <c r="AM121" i="1"/>
  <c r="AM19" i="1"/>
  <c r="AM41" i="1"/>
  <c r="AM62" i="1"/>
  <c r="AM83" i="1"/>
  <c r="AM101" i="1"/>
  <c r="AM117" i="1"/>
  <c r="AM21" i="1"/>
  <c r="AM42" i="1"/>
  <c r="AM64" i="1"/>
  <c r="AM85" i="1"/>
  <c r="AM102" i="1"/>
  <c r="AM118" i="1"/>
  <c r="AM2" i="1"/>
  <c r="AM26" i="1"/>
  <c r="AM48" i="1"/>
  <c r="AM69" i="1"/>
  <c r="AM90" i="1"/>
  <c r="AM106" i="1"/>
  <c r="AM122" i="1"/>
  <c r="AM3" i="1"/>
  <c r="AM27" i="1"/>
  <c r="AM49" i="1"/>
  <c r="AM70" i="1"/>
  <c r="AM91" i="1"/>
  <c r="AM107" i="1"/>
  <c r="AM123" i="1"/>
  <c r="AM6" i="1"/>
  <c r="AM30" i="1"/>
  <c r="AM51" i="1"/>
  <c r="AM73" i="1"/>
  <c r="AM93" i="1"/>
  <c r="AM109" i="1"/>
  <c r="AM10" i="1"/>
  <c r="AM32" i="1"/>
  <c r="AM53" i="1"/>
  <c r="AM74" i="1"/>
  <c r="AM94" i="1"/>
  <c r="AM110" i="1"/>
  <c r="AM16" i="1"/>
  <c r="AM37" i="1"/>
  <c r="AM58" i="1"/>
  <c r="AM80" i="1"/>
  <c r="AM98" i="1"/>
  <c r="AM114" i="1"/>
  <c r="AM17" i="1"/>
  <c r="AM38" i="1"/>
  <c r="AM59" i="1"/>
  <c r="AM81" i="1"/>
  <c r="AM99" i="1"/>
  <c r="AM115" i="1"/>
  <c r="BS3" i="1"/>
  <c r="BS11" i="1"/>
  <c r="BS19" i="1"/>
  <c r="BS27" i="1"/>
  <c r="BS35" i="1"/>
  <c r="BS43" i="1"/>
  <c r="BS51" i="1"/>
  <c r="BS59" i="1"/>
  <c r="BS67" i="1"/>
  <c r="BS75" i="1"/>
  <c r="BS83" i="1"/>
  <c r="BS91" i="1"/>
  <c r="BS99" i="1"/>
  <c r="BS107" i="1"/>
  <c r="BS115" i="1"/>
  <c r="BS123" i="1"/>
  <c r="BS8" i="1"/>
  <c r="BS17" i="1"/>
  <c r="BS26" i="1"/>
  <c r="BS36" i="1"/>
  <c r="BS45" i="1"/>
  <c r="BS54" i="1"/>
  <c r="BS63" i="1"/>
  <c r="BS72" i="1"/>
  <c r="BS81" i="1"/>
  <c r="BS90" i="1"/>
  <c r="BS100" i="1"/>
  <c r="BS109" i="1"/>
  <c r="BS118" i="1"/>
  <c r="BS10" i="1"/>
  <c r="BS20" i="1"/>
  <c r="BS29" i="1"/>
  <c r="BS38" i="1"/>
  <c r="BS47" i="1"/>
  <c r="BS56" i="1"/>
  <c r="BS65" i="1"/>
  <c r="BS74" i="1"/>
  <c r="BS84" i="1"/>
  <c r="BS93" i="1"/>
  <c r="BS102" i="1"/>
  <c r="BS111" i="1"/>
  <c r="BS120" i="1"/>
  <c r="BS12" i="1"/>
  <c r="BS23" i="1"/>
  <c r="BS34" i="1"/>
  <c r="BS48" i="1"/>
  <c r="BS60" i="1"/>
  <c r="BS71" i="1"/>
  <c r="BS85" i="1"/>
  <c r="BS96" i="1"/>
  <c r="BS108" i="1"/>
  <c r="BS121" i="1"/>
  <c r="BS4" i="1"/>
  <c r="BS15" i="1"/>
  <c r="BS28" i="1"/>
  <c r="BS40" i="1"/>
  <c r="BS52" i="1"/>
  <c r="BS64" i="1"/>
  <c r="BS77" i="1"/>
  <c r="BS88" i="1"/>
  <c r="BS101" i="1"/>
  <c r="BS113" i="1"/>
  <c r="BS5" i="1"/>
  <c r="BS16" i="1"/>
  <c r="BS30" i="1"/>
  <c r="BS41" i="1"/>
  <c r="BS53" i="1"/>
  <c r="BS66" i="1"/>
  <c r="BS78" i="1"/>
  <c r="BS89" i="1"/>
  <c r="BS103" i="1"/>
  <c r="BS114" i="1"/>
  <c r="BS6" i="1"/>
  <c r="BS18" i="1"/>
  <c r="BS31" i="1"/>
  <c r="BS42" i="1"/>
  <c r="BS55" i="1"/>
  <c r="BS68" i="1"/>
  <c r="BS79" i="1"/>
  <c r="BS92" i="1"/>
  <c r="BS104" i="1"/>
  <c r="BS116" i="1"/>
  <c r="BS24" i="1"/>
  <c r="BS49" i="1"/>
  <c r="BS73" i="1"/>
  <c r="BS97" i="1"/>
  <c r="BS122" i="1"/>
  <c r="BS9" i="1"/>
  <c r="BS33" i="1"/>
  <c r="BS58" i="1"/>
  <c r="BS82" i="1"/>
  <c r="BS106" i="1"/>
  <c r="BS13" i="1"/>
  <c r="BS37" i="1"/>
  <c r="BS61" i="1"/>
  <c r="BS86" i="1"/>
  <c r="BS110" i="1"/>
  <c r="BS14" i="1"/>
  <c r="BS39" i="1"/>
  <c r="BS62" i="1"/>
  <c r="BS87" i="1"/>
  <c r="BS112" i="1"/>
  <c r="BS25" i="1"/>
  <c r="BS76" i="1"/>
  <c r="BS124" i="1"/>
  <c r="BS32" i="1"/>
  <c r="BS80" i="1"/>
  <c r="BS44" i="1"/>
  <c r="BS94" i="1"/>
  <c r="BS46" i="1"/>
  <c r="BS95" i="1"/>
  <c r="BS2" i="1"/>
  <c r="BS50" i="1"/>
  <c r="BS98" i="1"/>
  <c r="BS7" i="1"/>
  <c r="BS57" i="1"/>
  <c r="BS105" i="1"/>
  <c r="BS21" i="1"/>
  <c r="BS22" i="1"/>
  <c r="BS69" i="1"/>
  <c r="BS70" i="1"/>
  <c r="BS117" i="1"/>
  <c r="BS119" i="1"/>
  <c r="C115" i="1"/>
  <c r="C99" i="1"/>
  <c r="C83" i="1"/>
  <c r="C67" i="1"/>
  <c r="C51" i="1"/>
  <c r="C35" i="1"/>
  <c r="C19" i="1"/>
  <c r="C3" i="1"/>
  <c r="G110" i="1"/>
  <c r="G83" i="1"/>
  <c r="G46" i="1"/>
  <c r="K117" i="1"/>
  <c r="BG2" i="1"/>
  <c r="BG10" i="1"/>
  <c r="BG18" i="1"/>
  <c r="BG26" i="1"/>
  <c r="BG34" i="1"/>
  <c r="BG42" i="1"/>
  <c r="BG50" i="1"/>
  <c r="BG58" i="1"/>
  <c r="BG66" i="1"/>
  <c r="BG5" i="1"/>
  <c r="BG14" i="1"/>
  <c r="BG23" i="1"/>
  <c r="BG32" i="1"/>
  <c r="BG41" i="1"/>
  <c r="BG51" i="1"/>
  <c r="BG60" i="1"/>
  <c r="BG69" i="1"/>
  <c r="BG77" i="1"/>
  <c r="BG85" i="1"/>
  <c r="BG93" i="1"/>
  <c r="BG101" i="1"/>
  <c r="BG109" i="1"/>
  <c r="BG117" i="1"/>
  <c r="BG7" i="1"/>
  <c r="BG16" i="1"/>
  <c r="BG25" i="1"/>
  <c r="BG35" i="1"/>
  <c r="BG44" i="1"/>
  <c r="BG53" i="1"/>
  <c r="BG62" i="1"/>
  <c r="BG71" i="1"/>
  <c r="BG79" i="1"/>
  <c r="BG87" i="1"/>
  <c r="BG8" i="1"/>
  <c r="BG20" i="1"/>
  <c r="BG31" i="1"/>
  <c r="BG45" i="1"/>
  <c r="BG56" i="1"/>
  <c r="BG68" i="1"/>
  <c r="BG80" i="1"/>
  <c r="BG90" i="1"/>
  <c r="BG99" i="1"/>
  <c r="BG108" i="1"/>
  <c r="BG118" i="1"/>
  <c r="BG12" i="1"/>
  <c r="BG24" i="1"/>
  <c r="BG37" i="1"/>
  <c r="BG48" i="1"/>
  <c r="BG61" i="1"/>
  <c r="BG73" i="1"/>
  <c r="BG83" i="1"/>
  <c r="BG94" i="1"/>
  <c r="BG103" i="1"/>
  <c r="BG112" i="1"/>
  <c r="BG121" i="1"/>
  <c r="BG13" i="1"/>
  <c r="BG27" i="1"/>
  <c r="BG38" i="1"/>
  <c r="BG49" i="1"/>
  <c r="BG63" i="1"/>
  <c r="BG74" i="1"/>
  <c r="BG84" i="1"/>
  <c r="BG95" i="1"/>
  <c r="BG104" i="1"/>
  <c r="BG113" i="1"/>
  <c r="BG122" i="1"/>
  <c r="BG3" i="1"/>
  <c r="BG15" i="1"/>
  <c r="BG28" i="1"/>
  <c r="BG39" i="1"/>
  <c r="BG52" i="1"/>
  <c r="BG64" i="1"/>
  <c r="BG75" i="1"/>
  <c r="BG86" i="1"/>
  <c r="BG96" i="1"/>
  <c r="BG105" i="1"/>
  <c r="BG114" i="1"/>
  <c r="BG123" i="1"/>
  <c r="BG21" i="1"/>
  <c r="BG46" i="1"/>
  <c r="BG70" i="1"/>
  <c r="BG91" i="1"/>
  <c r="BG110" i="1"/>
  <c r="BG6" i="1"/>
  <c r="BG30" i="1"/>
  <c r="BG55" i="1"/>
  <c r="BG78" i="1"/>
  <c r="BG98" i="1"/>
  <c r="BG116" i="1"/>
  <c r="BG9" i="1"/>
  <c r="BG33" i="1"/>
  <c r="BG57" i="1"/>
  <c r="BG81" i="1"/>
  <c r="BG100" i="1"/>
  <c r="BG119" i="1"/>
  <c r="BG11" i="1"/>
  <c r="BG36" i="1"/>
  <c r="BG59" i="1"/>
  <c r="BG82" i="1"/>
  <c r="BG102" i="1"/>
  <c r="BG120" i="1"/>
  <c r="BG47" i="1"/>
  <c r="BG92" i="1"/>
  <c r="BG4" i="1"/>
  <c r="BG54" i="1"/>
  <c r="BG97" i="1"/>
  <c r="BG17" i="1"/>
  <c r="BG65" i="1"/>
  <c r="BG106" i="1"/>
  <c r="BG19" i="1"/>
  <c r="BG67" i="1"/>
  <c r="BG107" i="1"/>
  <c r="BG22" i="1"/>
  <c r="BG72" i="1"/>
  <c r="BG111" i="1"/>
  <c r="BG29" i="1"/>
  <c r="BG76" i="1"/>
  <c r="BG115" i="1"/>
  <c r="BG40" i="1"/>
  <c r="BG43" i="1"/>
  <c r="BG88" i="1"/>
  <c r="BG89" i="1"/>
  <c r="BG124" i="1"/>
  <c r="BV128" i="1"/>
  <c r="BY2" i="1" s="1"/>
  <c r="BO8" i="1"/>
  <c r="BO16" i="1"/>
  <c r="BO24" i="1"/>
  <c r="BO32" i="1"/>
  <c r="BO40" i="1"/>
  <c r="BO48" i="1"/>
  <c r="BO56" i="1"/>
  <c r="BO64" i="1"/>
  <c r="BO72" i="1"/>
  <c r="BO80" i="1"/>
  <c r="BO88" i="1"/>
  <c r="BO96" i="1"/>
  <c r="BO104" i="1"/>
  <c r="BO112" i="1"/>
  <c r="BO120" i="1"/>
  <c r="BO4" i="1"/>
  <c r="BO13" i="1"/>
  <c r="BO22" i="1"/>
  <c r="BO31" i="1"/>
  <c r="BO41" i="1"/>
  <c r="BO50" i="1"/>
  <c r="BO59" i="1"/>
  <c r="BO68" i="1"/>
  <c r="BO77" i="1"/>
  <c r="BO86" i="1"/>
  <c r="BO95" i="1"/>
  <c r="BO105" i="1"/>
  <c r="BO114" i="1"/>
  <c r="BO123" i="1"/>
  <c r="BO6" i="1"/>
  <c r="BO15" i="1"/>
  <c r="BO25" i="1"/>
  <c r="BO34" i="1"/>
  <c r="BO43" i="1"/>
  <c r="BO52" i="1"/>
  <c r="BO61" i="1"/>
  <c r="BO70" i="1"/>
  <c r="BO79" i="1"/>
  <c r="BO89" i="1"/>
  <c r="BO98" i="1"/>
  <c r="BO107" i="1"/>
  <c r="BO116" i="1"/>
  <c r="BO10" i="1"/>
  <c r="BO21" i="1"/>
  <c r="BO35" i="1"/>
  <c r="BO46" i="1"/>
  <c r="BO58" i="1"/>
  <c r="BO71" i="1"/>
  <c r="BO83" i="1"/>
  <c r="BO94" i="1"/>
  <c r="BO108" i="1"/>
  <c r="BO119" i="1"/>
  <c r="BO2" i="1"/>
  <c r="BO14" i="1"/>
  <c r="BO27" i="1"/>
  <c r="BO38" i="1"/>
  <c r="BO51" i="1"/>
  <c r="BO63" i="1"/>
  <c r="BO75" i="1"/>
  <c r="BO87" i="1"/>
  <c r="BO100" i="1"/>
  <c r="BO111" i="1"/>
  <c r="BO124" i="1"/>
  <c r="BO3" i="1"/>
  <c r="BO17" i="1"/>
  <c r="BO28" i="1"/>
  <c r="BO39" i="1"/>
  <c r="BO53" i="1"/>
  <c r="BO65" i="1"/>
  <c r="BO76" i="1"/>
  <c r="BO90" i="1"/>
  <c r="BO101" i="1"/>
  <c r="BO113" i="1"/>
  <c r="BO5" i="1"/>
  <c r="BO18" i="1"/>
  <c r="BO29" i="1"/>
  <c r="BO42" i="1"/>
  <c r="BO54" i="1"/>
  <c r="BO66" i="1"/>
  <c r="BO78" i="1"/>
  <c r="BO91" i="1"/>
  <c r="BO102" i="1"/>
  <c r="BO115" i="1"/>
  <c r="BO23" i="1"/>
  <c r="BO47" i="1"/>
  <c r="BO73" i="1"/>
  <c r="BO97" i="1"/>
  <c r="BO121" i="1"/>
  <c r="BO9" i="1"/>
  <c r="BO33" i="1"/>
  <c r="BO57" i="1"/>
  <c r="BO82" i="1"/>
  <c r="BO106" i="1"/>
  <c r="BO11" i="1"/>
  <c r="BO36" i="1"/>
  <c r="BO60" i="1"/>
  <c r="BO84" i="1"/>
  <c r="BO109" i="1"/>
  <c r="BO12" i="1"/>
  <c r="BO37" i="1"/>
  <c r="BO62" i="1"/>
  <c r="BO85" i="1"/>
  <c r="BO110" i="1"/>
  <c r="BO49" i="1"/>
  <c r="BO99" i="1"/>
  <c r="BO7" i="1"/>
  <c r="BO55" i="1"/>
  <c r="BO103" i="1"/>
  <c r="BO19" i="1"/>
  <c r="BO67" i="1"/>
  <c r="BO117" i="1"/>
  <c r="BO20" i="1"/>
  <c r="BO69" i="1"/>
  <c r="BO118" i="1"/>
  <c r="BO26" i="1"/>
  <c r="BO74" i="1"/>
  <c r="BO122" i="1"/>
  <c r="BO30" i="1"/>
  <c r="BO81" i="1"/>
  <c r="BO92" i="1"/>
  <c r="BO93" i="1"/>
  <c r="BO44" i="1"/>
  <c r="BO45" i="1"/>
  <c r="K7" i="1"/>
  <c r="K15" i="1"/>
  <c r="K23" i="1"/>
  <c r="K31" i="1"/>
  <c r="K39" i="1"/>
  <c r="K47" i="1"/>
  <c r="K55" i="1"/>
  <c r="K63" i="1"/>
  <c r="K71" i="1"/>
  <c r="K79" i="1"/>
  <c r="K87" i="1"/>
  <c r="K95" i="1"/>
  <c r="K103" i="1"/>
  <c r="K111" i="1"/>
  <c r="K119" i="1"/>
  <c r="K2" i="1"/>
  <c r="K10" i="1"/>
  <c r="K18" i="1"/>
  <c r="K26" i="1"/>
  <c r="K34" i="1"/>
  <c r="K42" i="1"/>
  <c r="K50" i="1"/>
  <c r="K58" i="1"/>
  <c r="K66" i="1"/>
  <c r="K74" i="1"/>
  <c r="K82" i="1"/>
  <c r="K90" i="1"/>
  <c r="K98" i="1"/>
  <c r="K106" i="1"/>
  <c r="K114" i="1"/>
  <c r="K122" i="1"/>
  <c r="K3" i="1"/>
  <c r="K11" i="1"/>
  <c r="K19" i="1"/>
  <c r="K27" i="1"/>
  <c r="K35" i="1"/>
  <c r="K43" i="1"/>
  <c r="K51" i="1"/>
  <c r="K59" i="1"/>
  <c r="K67" i="1"/>
  <c r="K75" i="1"/>
  <c r="K83" i="1"/>
  <c r="K91" i="1"/>
  <c r="K99" i="1"/>
  <c r="K107" i="1"/>
  <c r="K115" i="1"/>
  <c r="K123" i="1"/>
  <c r="K4" i="1"/>
  <c r="K12" i="1"/>
  <c r="K20" i="1"/>
  <c r="K28" i="1"/>
  <c r="K36" i="1"/>
  <c r="K44" i="1"/>
  <c r="K52" i="1"/>
  <c r="K60" i="1"/>
  <c r="K68" i="1"/>
  <c r="K76" i="1"/>
  <c r="K84" i="1"/>
  <c r="K92" i="1"/>
  <c r="K100" i="1"/>
  <c r="K108" i="1"/>
  <c r="K116" i="1"/>
  <c r="K124" i="1"/>
  <c r="K8" i="1"/>
  <c r="K24" i="1"/>
  <c r="K40" i="1"/>
  <c r="K56" i="1"/>
  <c r="K72" i="1"/>
  <c r="K88" i="1"/>
  <c r="K104" i="1"/>
  <c r="K120" i="1"/>
  <c r="K9" i="1"/>
  <c r="K25" i="1"/>
  <c r="K41" i="1"/>
  <c r="K57" i="1"/>
  <c r="K73" i="1"/>
  <c r="K89" i="1"/>
  <c r="K105" i="1"/>
  <c r="K121" i="1"/>
  <c r="K13" i="1"/>
  <c r="K29" i="1"/>
  <c r="K45" i="1"/>
  <c r="K61" i="1"/>
  <c r="K77" i="1"/>
  <c r="K93" i="1"/>
  <c r="K109" i="1"/>
  <c r="K14" i="1"/>
  <c r="K30" i="1"/>
  <c r="K46" i="1"/>
  <c r="K62" i="1"/>
  <c r="K78" i="1"/>
  <c r="K94" i="1"/>
  <c r="K110" i="1"/>
  <c r="K16" i="1"/>
  <c r="K32" i="1"/>
  <c r="K48" i="1"/>
  <c r="K64" i="1"/>
  <c r="K80" i="1"/>
  <c r="K96" i="1"/>
  <c r="K112" i="1"/>
  <c r="K17" i="1"/>
  <c r="K33" i="1"/>
  <c r="K49" i="1"/>
  <c r="K65" i="1"/>
  <c r="K81" i="1"/>
  <c r="K97" i="1"/>
  <c r="K113" i="1"/>
  <c r="K5" i="1"/>
  <c r="K6" i="1"/>
  <c r="AQ7" i="1"/>
  <c r="AQ15" i="1"/>
  <c r="AQ23" i="1"/>
  <c r="AQ31" i="1"/>
  <c r="AQ39" i="1"/>
  <c r="AQ47" i="1"/>
  <c r="AQ55" i="1"/>
  <c r="AQ63" i="1"/>
  <c r="AQ71" i="1"/>
  <c r="AQ79" i="1"/>
  <c r="AQ87" i="1"/>
  <c r="AQ95" i="1"/>
  <c r="AQ103" i="1"/>
  <c r="AQ111" i="1"/>
  <c r="AQ119" i="1"/>
  <c r="AQ2" i="1"/>
  <c r="AQ10" i="1"/>
  <c r="AQ18" i="1"/>
  <c r="AQ26" i="1"/>
  <c r="AQ34" i="1"/>
  <c r="AQ42" i="1"/>
  <c r="AQ50" i="1"/>
  <c r="AQ58" i="1"/>
  <c r="AQ66" i="1"/>
  <c r="AQ74" i="1"/>
  <c r="AQ82" i="1"/>
  <c r="AQ90" i="1"/>
  <c r="AQ98" i="1"/>
  <c r="AQ106" i="1"/>
  <c r="AQ114" i="1"/>
  <c r="AQ122" i="1"/>
  <c r="AQ3" i="1"/>
  <c r="AQ11" i="1"/>
  <c r="AQ19" i="1"/>
  <c r="AQ27" i="1"/>
  <c r="AQ35" i="1"/>
  <c r="AQ43" i="1"/>
  <c r="AQ51" i="1"/>
  <c r="AQ59" i="1"/>
  <c r="AQ67" i="1"/>
  <c r="AQ75" i="1"/>
  <c r="AQ83" i="1"/>
  <c r="AQ91" i="1"/>
  <c r="AQ99" i="1"/>
  <c r="AQ107" i="1"/>
  <c r="AQ115" i="1"/>
  <c r="AQ123" i="1"/>
  <c r="AQ4" i="1"/>
  <c r="AQ12" i="1"/>
  <c r="AQ20" i="1"/>
  <c r="AQ28" i="1"/>
  <c r="AQ36" i="1"/>
  <c r="AQ44" i="1"/>
  <c r="AQ52" i="1"/>
  <c r="AQ60" i="1"/>
  <c r="AQ68" i="1"/>
  <c r="AQ76" i="1"/>
  <c r="AQ84" i="1"/>
  <c r="AQ92" i="1"/>
  <c r="AQ100" i="1"/>
  <c r="AQ108" i="1"/>
  <c r="AQ116" i="1"/>
  <c r="AQ124" i="1"/>
  <c r="AQ16" i="1"/>
  <c r="AQ32" i="1"/>
  <c r="AQ48" i="1"/>
  <c r="AQ64" i="1"/>
  <c r="AQ80" i="1"/>
  <c r="AQ96" i="1"/>
  <c r="AQ112" i="1"/>
  <c r="AQ6" i="1"/>
  <c r="AQ22" i="1"/>
  <c r="AQ38" i="1"/>
  <c r="AQ54" i="1"/>
  <c r="AQ70" i="1"/>
  <c r="AQ86" i="1"/>
  <c r="AQ102" i="1"/>
  <c r="AQ118" i="1"/>
  <c r="AQ8" i="1"/>
  <c r="AQ24" i="1"/>
  <c r="AQ40" i="1"/>
  <c r="AQ56" i="1"/>
  <c r="AQ72" i="1"/>
  <c r="AQ88" i="1"/>
  <c r="AQ104" i="1"/>
  <c r="AQ120" i="1"/>
  <c r="AQ9" i="1"/>
  <c r="AQ25" i="1"/>
  <c r="AQ41" i="1"/>
  <c r="AQ57" i="1"/>
  <c r="AQ73" i="1"/>
  <c r="AQ89" i="1"/>
  <c r="AQ105" i="1"/>
  <c r="AQ121" i="1"/>
  <c r="AQ17" i="1"/>
  <c r="AQ49" i="1"/>
  <c r="AQ81" i="1"/>
  <c r="AQ113" i="1"/>
  <c r="AQ21" i="1"/>
  <c r="AQ53" i="1"/>
  <c r="AQ85" i="1"/>
  <c r="AQ117" i="1"/>
  <c r="AQ29" i="1"/>
  <c r="AQ61" i="1"/>
  <c r="AQ93" i="1"/>
  <c r="AQ30" i="1"/>
  <c r="AQ62" i="1"/>
  <c r="AQ94" i="1"/>
  <c r="AQ33" i="1"/>
  <c r="AQ65" i="1"/>
  <c r="AQ97" i="1"/>
  <c r="AQ5" i="1"/>
  <c r="AQ37" i="1"/>
  <c r="AQ69" i="1"/>
  <c r="AQ101" i="1"/>
  <c r="AQ13" i="1"/>
  <c r="AQ45" i="1"/>
  <c r="AQ77" i="1"/>
  <c r="AQ109" i="1"/>
  <c r="AQ14" i="1"/>
  <c r="AQ46" i="1"/>
  <c r="AQ78" i="1"/>
  <c r="AQ110" i="1"/>
  <c r="BW5" i="1"/>
  <c r="BW13" i="1"/>
  <c r="BW21" i="1"/>
  <c r="BW6" i="1"/>
  <c r="BW14" i="1"/>
  <c r="BW22" i="1"/>
  <c r="BW30" i="1"/>
  <c r="BW38" i="1"/>
  <c r="BW46" i="1"/>
  <c r="BW54" i="1"/>
  <c r="BW62" i="1"/>
  <c r="BW70" i="1"/>
  <c r="BW78" i="1"/>
  <c r="BW86" i="1"/>
  <c r="BW94" i="1"/>
  <c r="BW102" i="1"/>
  <c r="BW110" i="1"/>
  <c r="BW118" i="1"/>
  <c r="BW10" i="1"/>
  <c r="BW20" i="1"/>
  <c r="BW31" i="1"/>
  <c r="BW40" i="1"/>
  <c r="BW49" i="1"/>
  <c r="BW58" i="1"/>
  <c r="BW67" i="1"/>
  <c r="BW76" i="1"/>
  <c r="BW85" i="1"/>
  <c r="BW95" i="1"/>
  <c r="BW104" i="1"/>
  <c r="BW113" i="1"/>
  <c r="BW122" i="1"/>
  <c r="BW2" i="1"/>
  <c r="BW12" i="1"/>
  <c r="BW24" i="1"/>
  <c r="BW33" i="1"/>
  <c r="BW42" i="1"/>
  <c r="BW51" i="1"/>
  <c r="BW60" i="1"/>
  <c r="BW69" i="1"/>
  <c r="BW79" i="1"/>
  <c r="BW88" i="1"/>
  <c r="BW97" i="1"/>
  <c r="BW106" i="1"/>
  <c r="BW115" i="1"/>
  <c r="BW124" i="1"/>
  <c r="BW9" i="1"/>
  <c r="BW25" i="1"/>
  <c r="BW36" i="1"/>
  <c r="BW48" i="1"/>
  <c r="BW61" i="1"/>
  <c r="BW73" i="1"/>
  <c r="BW84" i="1"/>
  <c r="BW98" i="1"/>
  <c r="BW109" i="1"/>
  <c r="BW121" i="1"/>
  <c r="BW16" i="1"/>
  <c r="BW28" i="1"/>
  <c r="BW41" i="1"/>
  <c r="BW53" i="1"/>
  <c r="BW65" i="1"/>
  <c r="BW77" i="1"/>
  <c r="BW90" i="1"/>
  <c r="BW101" i="1"/>
  <c r="BW114" i="1"/>
  <c r="BW3" i="1"/>
  <c r="BW17" i="1"/>
  <c r="BW29" i="1"/>
  <c r="BW43" i="1"/>
  <c r="BW55" i="1"/>
  <c r="BW66" i="1"/>
  <c r="BW80" i="1"/>
  <c r="BW91" i="1"/>
  <c r="BW103" i="1"/>
  <c r="BW116" i="1"/>
  <c r="BW4" i="1"/>
  <c r="BW18" i="1"/>
  <c r="BW32" i="1"/>
  <c r="BW44" i="1"/>
  <c r="BW56" i="1"/>
  <c r="BW68" i="1"/>
  <c r="BW81" i="1"/>
  <c r="BW92" i="1"/>
  <c r="BW105" i="1"/>
  <c r="BW117" i="1"/>
  <c r="BW26" i="1"/>
  <c r="BW50" i="1"/>
  <c r="BW74" i="1"/>
  <c r="BW99" i="1"/>
  <c r="BW123" i="1"/>
  <c r="BW8" i="1"/>
  <c r="BW35" i="1"/>
  <c r="BW59" i="1"/>
  <c r="BW83" i="1"/>
  <c r="BW108" i="1"/>
  <c r="BW11" i="1"/>
  <c r="BW37" i="1"/>
  <c r="BW63" i="1"/>
  <c r="BW87" i="1"/>
  <c r="BW111" i="1"/>
  <c r="BW15" i="1"/>
  <c r="BW39" i="1"/>
  <c r="BW64" i="1"/>
  <c r="BW89" i="1"/>
  <c r="BW112" i="1"/>
  <c r="BW52" i="1"/>
  <c r="BW100" i="1"/>
  <c r="BW7" i="1"/>
  <c r="BW57" i="1"/>
  <c r="BW107" i="1"/>
  <c r="BW19" i="1"/>
  <c r="BW71" i="1"/>
  <c r="BW119" i="1"/>
  <c r="BW23" i="1"/>
  <c r="BW72" i="1"/>
  <c r="BW120" i="1"/>
  <c r="BW27" i="1"/>
  <c r="BW75" i="1"/>
  <c r="BW34" i="1"/>
  <c r="BW82" i="1"/>
  <c r="BW45" i="1"/>
  <c r="BW47" i="1"/>
  <c r="BW93" i="1"/>
  <c r="BW96" i="1"/>
  <c r="Z128" i="1"/>
  <c r="AC2" i="1" s="1"/>
  <c r="BF128" i="1"/>
  <c r="BI2" i="1" s="1"/>
  <c r="BJ128" i="1"/>
  <c r="BM2" i="1" s="1"/>
  <c r="C113" i="1"/>
  <c r="C97" i="1"/>
  <c r="C81" i="1"/>
  <c r="C65" i="1"/>
  <c r="C49" i="1"/>
  <c r="C33" i="1"/>
  <c r="C17" i="1"/>
  <c r="G124" i="1"/>
  <c r="G108" i="1"/>
  <c r="G76" i="1"/>
  <c r="G37" i="1"/>
  <c r="K102" i="1"/>
  <c r="K38" i="1"/>
  <c r="S5" i="1"/>
  <c r="S13" i="1"/>
  <c r="S21" i="1"/>
  <c r="S29" i="1"/>
  <c r="S37" i="1"/>
  <c r="S45" i="1"/>
  <c r="S53" i="1"/>
  <c r="S61" i="1"/>
  <c r="S69" i="1"/>
  <c r="S77" i="1"/>
  <c r="S85" i="1"/>
  <c r="S93" i="1"/>
  <c r="S101" i="1"/>
  <c r="S109" i="1"/>
  <c r="S117" i="1"/>
  <c r="S8" i="1"/>
  <c r="S16" i="1"/>
  <c r="S24" i="1"/>
  <c r="S32" i="1"/>
  <c r="S40" i="1"/>
  <c r="S48" i="1"/>
  <c r="S56" i="1"/>
  <c r="S64" i="1"/>
  <c r="S72" i="1"/>
  <c r="S80" i="1"/>
  <c r="S88" i="1"/>
  <c r="S96" i="1"/>
  <c r="S104" i="1"/>
  <c r="S112" i="1"/>
  <c r="S120" i="1"/>
  <c r="S9" i="1"/>
  <c r="S17" i="1"/>
  <c r="S25" i="1"/>
  <c r="S33" i="1"/>
  <c r="S41" i="1"/>
  <c r="S49" i="1"/>
  <c r="S57" i="1"/>
  <c r="S65" i="1"/>
  <c r="S73" i="1"/>
  <c r="S81" i="1"/>
  <c r="S89" i="1"/>
  <c r="S97" i="1"/>
  <c r="S105" i="1"/>
  <c r="S113" i="1"/>
  <c r="S121" i="1"/>
  <c r="S2" i="1"/>
  <c r="S10" i="1"/>
  <c r="S18" i="1"/>
  <c r="S26" i="1"/>
  <c r="S34" i="1"/>
  <c r="S42" i="1"/>
  <c r="S50" i="1"/>
  <c r="S58" i="1"/>
  <c r="S66" i="1"/>
  <c r="S74" i="1"/>
  <c r="S82" i="1"/>
  <c r="S90" i="1"/>
  <c r="S98" i="1"/>
  <c r="S106" i="1"/>
  <c r="S114" i="1"/>
  <c r="S122" i="1"/>
  <c r="S14" i="1"/>
  <c r="S30" i="1"/>
  <c r="S46" i="1"/>
  <c r="S62" i="1"/>
  <c r="S78" i="1"/>
  <c r="S94" i="1"/>
  <c r="S110" i="1"/>
  <c r="S15" i="1"/>
  <c r="S31" i="1"/>
  <c r="S47" i="1"/>
  <c r="S63" i="1"/>
  <c r="S79" i="1"/>
  <c r="S95" i="1"/>
  <c r="S111" i="1"/>
  <c r="S3" i="1"/>
  <c r="S19" i="1"/>
  <c r="S35" i="1"/>
  <c r="S51" i="1"/>
  <c r="S67" i="1"/>
  <c r="S83" i="1"/>
  <c r="S99" i="1"/>
  <c r="S115" i="1"/>
  <c r="S4" i="1"/>
  <c r="S20" i="1"/>
  <c r="S36" i="1"/>
  <c r="S52" i="1"/>
  <c r="S68" i="1"/>
  <c r="S84" i="1"/>
  <c r="S100" i="1"/>
  <c r="S116" i="1"/>
  <c r="S6" i="1"/>
  <c r="S22" i="1"/>
  <c r="S38" i="1"/>
  <c r="S54" i="1"/>
  <c r="S70" i="1"/>
  <c r="S86" i="1"/>
  <c r="S102" i="1"/>
  <c r="S118" i="1"/>
  <c r="S7" i="1"/>
  <c r="S23" i="1"/>
  <c r="S39" i="1"/>
  <c r="S55" i="1"/>
  <c r="S71" i="1"/>
  <c r="S87" i="1"/>
  <c r="S103" i="1"/>
  <c r="S119" i="1"/>
  <c r="S11" i="1"/>
  <c r="S27" i="1"/>
  <c r="S43" i="1"/>
  <c r="S59" i="1"/>
  <c r="S75" i="1"/>
  <c r="S91" i="1"/>
  <c r="S107" i="1"/>
  <c r="S123" i="1"/>
  <c r="S12" i="1"/>
  <c r="S28" i="1"/>
  <c r="S44" i="1"/>
  <c r="S60" i="1"/>
  <c r="S76" i="1"/>
  <c r="S92" i="1"/>
  <c r="S108" i="1"/>
  <c r="S124" i="1"/>
  <c r="AY6" i="1"/>
  <c r="AY14" i="1"/>
  <c r="AY22" i="1"/>
  <c r="AY30" i="1"/>
  <c r="AY38" i="1"/>
  <c r="AY46" i="1"/>
  <c r="AY54" i="1"/>
  <c r="AY62" i="1"/>
  <c r="AY70" i="1"/>
  <c r="AY78" i="1"/>
  <c r="AY9" i="1"/>
  <c r="AY17" i="1"/>
  <c r="AY25" i="1"/>
  <c r="AY33" i="1"/>
  <c r="AY41" i="1"/>
  <c r="AY49" i="1"/>
  <c r="AY57" i="1"/>
  <c r="AY65" i="1"/>
  <c r="AY73" i="1"/>
  <c r="AY81" i="1"/>
  <c r="AY11" i="1"/>
  <c r="AY21" i="1"/>
  <c r="AY32" i="1"/>
  <c r="AY43" i="1"/>
  <c r="AY53" i="1"/>
  <c r="AY64" i="1"/>
  <c r="AY75" i="1"/>
  <c r="AY85" i="1"/>
  <c r="AY93" i="1"/>
  <c r="AY101" i="1"/>
  <c r="AY109" i="1"/>
  <c r="AY117" i="1"/>
  <c r="AY4" i="1"/>
  <c r="AY15" i="1"/>
  <c r="AY26" i="1"/>
  <c r="AY36" i="1"/>
  <c r="AY47" i="1"/>
  <c r="AY58" i="1"/>
  <c r="AY68" i="1"/>
  <c r="AY79" i="1"/>
  <c r="AY88" i="1"/>
  <c r="AY96" i="1"/>
  <c r="AY104" i="1"/>
  <c r="AY112" i="1"/>
  <c r="AY120" i="1"/>
  <c r="AY5" i="1"/>
  <c r="AY16" i="1"/>
  <c r="AY27" i="1"/>
  <c r="AY37" i="1"/>
  <c r="AY48" i="1"/>
  <c r="AY59" i="1"/>
  <c r="AY69" i="1"/>
  <c r="AY80" i="1"/>
  <c r="AY89" i="1"/>
  <c r="AY97" i="1"/>
  <c r="AY105" i="1"/>
  <c r="AY113" i="1"/>
  <c r="AY121" i="1"/>
  <c r="AY7" i="1"/>
  <c r="AY18" i="1"/>
  <c r="AY28" i="1"/>
  <c r="AY39" i="1"/>
  <c r="AY50" i="1"/>
  <c r="AY60" i="1"/>
  <c r="AY71" i="1"/>
  <c r="AY82" i="1"/>
  <c r="AY90" i="1"/>
  <c r="AY98" i="1"/>
  <c r="AY106" i="1"/>
  <c r="AY114" i="1"/>
  <c r="AY122" i="1"/>
  <c r="AY2" i="1"/>
  <c r="AY23" i="1"/>
  <c r="AY44" i="1"/>
  <c r="AY66" i="1"/>
  <c r="AY86" i="1"/>
  <c r="AY102" i="1"/>
  <c r="AY118" i="1"/>
  <c r="AY3" i="1"/>
  <c r="AY24" i="1"/>
  <c r="AY45" i="1"/>
  <c r="AY67" i="1"/>
  <c r="AY8" i="1"/>
  <c r="AY29" i="1"/>
  <c r="AY51" i="1"/>
  <c r="AY72" i="1"/>
  <c r="AY91" i="1"/>
  <c r="AY107" i="1"/>
  <c r="AY123" i="1"/>
  <c r="AY10" i="1"/>
  <c r="AY31" i="1"/>
  <c r="AY52" i="1"/>
  <c r="AY74" i="1"/>
  <c r="AY92" i="1"/>
  <c r="AY108" i="1"/>
  <c r="AY124" i="1"/>
  <c r="AY12" i="1"/>
  <c r="AY34" i="1"/>
  <c r="AY55" i="1"/>
  <c r="AY76" i="1"/>
  <c r="AY94" i="1"/>
  <c r="AY110" i="1"/>
  <c r="AY13" i="1"/>
  <c r="AY35" i="1"/>
  <c r="AY56" i="1"/>
  <c r="AY77" i="1"/>
  <c r="AY95" i="1"/>
  <c r="AY111" i="1"/>
  <c r="AY19" i="1"/>
  <c r="AY87" i="1"/>
  <c r="AY20" i="1"/>
  <c r="AY99" i="1"/>
  <c r="AY40" i="1"/>
  <c r="AY100" i="1"/>
  <c r="AY42" i="1"/>
  <c r="AY103" i="1"/>
  <c r="AY61" i="1"/>
  <c r="AY115" i="1"/>
  <c r="AY63" i="1"/>
  <c r="AY116" i="1"/>
  <c r="AY83" i="1"/>
  <c r="AY119" i="1"/>
  <c r="AY84" i="1"/>
  <c r="W8" i="1"/>
  <c r="W16" i="1"/>
  <c r="W24" i="1"/>
  <c r="W32" i="1"/>
  <c r="W40" i="1"/>
  <c r="W48" i="1"/>
  <c r="W56" i="1"/>
  <c r="W64" i="1"/>
  <c r="W72" i="1"/>
  <c r="W80" i="1"/>
  <c r="W88" i="1"/>
  <c r="W96" i="1"/>
  <c r="W104" i="1"/>
  <c r="W112" i="1"/>
  <c r="W120" i="1"/>
  <c r="W3" i="1"/>
  <c r="W11" i="1"/>
  <c r="W19" i="1"/>
  <c r="W27" i="1"/>
  <c r="W35" i="1"/>
  <c r="W43" i="1"/>
  <c r="W51" i="1"/>
  <c r="W59" i="1"/>
  <c r="W67" i="1"/>
  <c r="W75" i="1"/>
  <c r="W83" i="1"/>
  <c r="W91" i="1"/>
  <c r="W99" i="1"/>
  <c r="W107" i="1"/>
  <c r="W115" i="1"/>
  <c r="W123" i="1"/>
  <c r="W4" i="1"/>
  <c r="W12" i="1"/>
  <c r="W20" i="1"/>
  <c r="W28" i="1"/>
  <c r="W36" i="1"/>
  <c r="W44" i="1"/>
  <c r="W52" i="1"/>
  <c r="W60" i="1"/>
  <c r="W68" i="1"/>
  <c r="W76" i="1"/>
  <c r="W84" i="1"/>
  <c r="W92" i="1"/>
  <c r="W100" i="1"/>
  <c r="W108" i="1"/>
  <c r="W116" i="1"/>
  <c r="W124" i="1"/>
  <c r="W5" i="1"/>
  <c r="W13" i="1"/>
  <c r="W21" i="1"/>
  <c r="W29" i="1"/>
  <c r="W37" i="1"/>
  <c r="W45" i="1"/>
  <c r="W53" i="1"/>
  <c r="W61" i="1"/>
  <c r="W69" i="1"/>
  <c r="W77" i="1"/>
  <c r="W85" i="1"/>
  <c r="W93" i="1"/>
  <c r="W101" i="1"/>
  <c r="W109" i="1"/>
  <c r="W117" i="1"/>
  <c r="W9" i="1"/>
  <c r="W25" i="1"/>
  <c r="W41" i="1"/>
  <c r="W57" i="1"/>
  <c r="W73" i="1"/>
  <c r="W89" i="1"/>
  <c r="W105" i="1"/>
  <c r="W121" i="1"/>
  <c r="W10" i="1"/>
  <c r="W26" i="1"/>
  <c r="W42" i="1"/>
  <c r="W58" i="1"/>
  <c r="W74" i="1"/>
  <c r="W90" i="1"/>
  <c r="W106" i="1"/>
  <c r="W122" i="1"/>
  <c r="W14" i="1"/>
  <c r="W30" i="1"/>
  <c r="W46" i="1"/>
  <c r="W62" i="1"/>
  <c r="W78" i="1"/>
  <c r="W94" i="1"/>
  <c r="W110" i="1"/>
  <c r="W15" i="1"/>
  <c r="W31" i="1"/>
  <c r="W47" i="1"/>
  <c r="W63" i="1"/>
  <c r="W79" i="1"/>
  <c r="W95" i="1"/>
  <c r="W111" i="1"/>
  <c r="W17" i="1"/>
  <c r="W33" i="1"/>
  <c r="W49" i="1"/>
  <c r="W65" i="1"/>
  <c r="W81" i="1"/>
  <c r="W97" i="1"/>
  <c r="W113" i="1"/>
  <c r="W2" i="1"/>
  <c r="W18" i="1"/>
  <c r="W34" i="1"/>
  <c r="W50" i="1"/>
  <c r="W66" i="1"/>
  <c r="W82" i="1"/>
  <c r="W98" i="1"/>
  <c r="W114" i="1"/>
  <c r="W6" i="1"/>
  <c r="W22" i="1"/>
  <c r="W38" i="1"/>
  <c r="W54" i="1"/>
  <c r="W70" i="1"/>
  <c r="W86" i="1"/>
  <c r="W102" i="1"/>
  <c r="W118" i="1"/>
  <c r="W7" i="1"/>
  <c r="W23" i="1"/>
  <c r="W39" i="1"/>
  <c r="W55" i="1"/>
  <c r="W71" i="1"/>
  <c r="W87" i="1"/>
  <c r="W103" i="1"/>
  <c r="W119" i="1"/>
  <c r="BC2" i="1"/>
  <c r="BC10" i="1"/>
  <c r="BC18" i="1"/>
  <c r="BC26" i="1"/>
  <c r="BC34" i="1"/>
  <c r="BC42" i="1"/>
  <c r="BC4" i="1"/>
  <c r="BC13" i="1"/>
  <c r="BC22" i="1"/>
  <c r="BC31" i="1"/>
  <c r="BC40" i="1"/>
  <c r="BC49" i="1"/>
  <c r="BC57" i="1"/>
  <c r="BC65" i="1"/>
  <c r="BC73" i="1"/>
  <c r="BC81" i="1"/>
  <c r="BC89" i="1"/>
  <c r="BC97" i="1"/>
  <c r="BC105" i="1"/>
  <c r="BC113" i="1"/>
  <c r="BC121" i="1"/>
  <c r="BC7" i="1"/>
  <c r="BC16" i="1"/>
  <c r="BC25" i="1"/>
  <c r="BC35" i="1"/>
  <c r="BC44" i="1"/>
  <c r="BC52" i="1"/>
  <c r="BC60" i="1"/>
  <c r="BC68" i="1"/>
  <c r="BC76" i="1"/>
  <c r="BC84" i="1"/>
  <c r="BC92" i="1"/>
  <c r="BC100" i="1"/>
  <c r="BC108" i="1"/>
  <c r="BC116" i="1"/>
  <c r="BC124" i="1"/>
  <c r="BC8" i="1"/>
  <c r="BC17" i="1"/>
  <c r="BC27" i="1"/>
  <c r="BC36" i="1"/>
  <c r="BC45" i="1"/>
  <c r="BC5" i="1"/>
  <c r="BC20" i="1"/>
  <c r="BC33" i="1"/>
  <c r="BC48" i="1"/>
  <c r="BC59" i="1"/>
  <c r="BC70" i="1"/>
  <c r="BC80" i="1"/>
  <c r="BC91" i="1"/>
  <c r="BC102" i="1"/>
  <c r="BC112" i="1"/>
  <c r="BC123" i="1"/>
  <c r="BC11" i="1"/>
  <c r="BC24" i="1"/>
  <c r="BC39" i="1"/>
  <c r="BC53" i="1"/>
  <c r="BC63" i="1"/>
  <c r="BC74" i="1"/>
  <c r="BC85" i="1"/>
  <c r="BC95" i="1"/>
  <c r="BC106" i="1"/>
  <c r="BC117" i="1"/>
  <c r="BC12" i="1"/>
  <c r="BC28" i="1"/>
  <c r="BC41" i="1"/>
  <c r="BC54" i="1"/>
  <c r="BC64" i="1"/>
  <c r="BC75" i="1"/>
  <c r="BC86" i="1"/>
  <c r="BC96" i="1"/>
  <c r="BC107" i="1"/>
  <c r="BC118" i="1"/>
  <c r="BC14" i="1"/>
  <c r="BC29" i="1"/>
  <c r="BC43" i="1"/>
  <c r="BC55" i="1"/>
  <c r="BC66" i="1"/>
  <c r="BC77" i="1"/>
  <c r="BC87" i="1"/>
  <c r="BC98" i="1"/>
  <c r="BC109" i="1"/>
  <c r="BC119" i="1"/>
  <c r="BC6" i="1"/>
  <c r="BC37" i="1"/>
  <c r="BC61" i="1"/>
  <c r="BC82" i="1"/>
  <c r="BC103" i="1"/>
  <c r="BC9" i="1"/>
  <c r="BC38" i="1"/>
  <c r="BC62" i="1"/>
  <c r="BC83" i="1"/>
  <c r="BC104" i="1"/>
  <c r="BC15" i="1"/>
  <c r="BC46" i="1"/>
  <c r="BC67" i="1"/>
  <c r="BC88" i="1"/>
  <c r="BC110" i="1"/>
  <c r="BC19" i="1"/>
  <c r="BC47" i="1"/>
  <c r="BC69" i="1"/>
  <c r="BC90" i="1"/>
  <c r="BC111" i="1"/>
  <c r="BC21" i="1"/>
  <c r="BC50" i="1"/>
  <c r="BC71" i="1"/>
  <c r="BC93" i="1"/>
  <c r="BC114" i="1"/>
  <c r="BC23" i="1"/>
  <c r="BC51" i="1"/>
  <c r="BC72" i="1"/>
  <c r="BC94" i="1"/>
  <c r="BC115" i="1"/>
  <c r="BC56" i="1"/>
  <c r="BC58" i="1"/>
  <c r="BC78" i="1"/>
  <c r="BC79" i="1"/>
  <c r="BC99" i="1"/>
  <c r="BC3" i="1"/>
  <c r="BC101" i="1"/>
  <c r="BC30" i="1"/>
  <c r="BC120" i="1"/>
  <c r="BC32" i="1"/>
  <c r="BC122" i="1"/>
  <c r="V128" i="1"/>
  <c r="Y2" i="1" s="1"/>
  <c r="C123" i="1"/>
  <c r="C107" i="1"/>
  <c r="C91" i="1"/>
  <c r="C75" i="1"/>
  <c r="C59" i="1"/>
  <c r="C43" i="1"/>
  <c r="C27" i="1"/>
  <c r="C11" i="1"/>
  <c r="G118" i="1"/>
  <c r="G99" i="1"/>
  <c r="G67" i="1"/>
  <c r="G25" i="1"/>
  <c r="K85" i="1"/>
  <c r="K21" i="1"/>
  <c r="BQ2" i="1"/>
  <c r="Q2" i="1"/>
  <c r="AW2" i="1"/>
  <c r="CC2" i="1"/>
  <c r="U2" i="1"/>
  <c r="BA2" i="1"/>
  <c r="AK2" i="1"/>
  <c r="I2" i="1"/>
  <c r="AO2" i="1"/>
  <c r="BU2" i="1"/>
  <c r="Y4" i="1" l="1"/>
  <c r="Q5" i="1"/>
  <c r="BM3" i="1"/>
  <c r="AO4" i="1"/>
  <c r="CC3" i="1"/>
  <c r="BE3" i="1"/>
  <c r="BQ3" i="1"/>
  <c r="U3" i="1"/>
  <c r="BI3" i="1"/>
  <c r="Y3" i="1"/>
  <c r="BM4" i="1"/>
  <c r="Q3" i="1"/>
  <c r="AC3" i="1"/>
  <c r="AG3" i="1"/>
  <c r="BU3" i="1"/>
  <c r="BY3" i="1"/>
  <c r="BA3" i="1"/>
  <c r="M3" i="1"/>
  <c r="BY4" i="1"/>
  <c r="AK3" i="1"/>
  <c r="AS4" i="1"/>
  <c r="I3" i="1"/>
  <c r="BQ4" i="1"/>
  <c r="M4" i="1"/>
  <c r="AO3" i="1"/>
  <c r="AS3" i="1"/>
  <c r="BA4" i="1" l="1"/>
  <c r="AC4" i="1"/>
  <c r="Q4" i="1"/>
  <c r="AO5" i="1"/>
  <c r="BI5" i="1"/>
  <c r="M5" i="1"/>
  <c r="BI4" i="1"/>
  <c r="AK6" i="1"/>
  <c r="AK7" i="1"/>
  <c r="AK4" i="1"/>
  <c r="AK5" i="1"/>
  <c r="CC4" i="1"/>
  <c r="BE4" i="1"/>
  <c r="AW3" i="1"/>
  <c r="E3" i="1"/>
  <c r="E4" i="1"/>
  <c r="I4" i="1"/>
  <c r="AG4" i="1"/>
  <c r="U4" i="1"/>
  <c r="BU4" i="1"/>
  <c r="BQ5" i="1"/>
  <c r="AC5" i="1"/>
  <c r="M6" i="1"/>
  <c r="Q6" i="1"/>
  <c r="BI6" i="1"/>
  <c r="Y5" i="1"/>
  <c r="I5" i="1"/>
  <c r="BA5" i="1"/>
  <c r="BE5" i="1"/>
  <c r="U5" i="1"/>
  <c r="AS5" i="1"/>
  <c r="AO6" i="1" l="1"/>
  <c r="E5" i="1"/>
  <c r="CC5" i="1"/>
  <c r="AW4" i="1"/>
  <c r="BY5" i="1"/>
  <c r="BM5" i="1"/>
  <c r="AG5" i="1"/>
  <c r="BU5" i="1"/>
  <c r="BE6" i="1"/>
  <c r="BI7" i="1"/>
  <c r="M7" i="1"/>
  <c r="AC6" i="1"/>
  <c r="Y6" i="1"/>
  <c r="AS6" i="1"/>
  <c r="U6" i="1"/>
  <c r="BA6" i="1"/>
  <c r="BY6" i="1"/>
  <c r="I6" i="1"/>
  <c r="BQ6" i="1"/>
  <c r="Q7" i="1"/>
  <c r="AK8" i="1" l="1"/>
  <c r="E6" i="1"/>
  <c r="CC6" i="1"/>
  <c r="AW5" i="1"/>
  <c r="BM6" i="1"/>
  <c r="AG6" i="1"/>
  <c r="BU6" i="1"/>
  <c r="I7" i="1"/>
  <c r="U7" i="1"/>
  <c r="BE7" i="1"/>
  <c r="AS7" i="1"/>
  <c r="BY7" i="1"/>
  <c r="M8" i="1"/>
  <c r="Y7" i="1"/>
  <c r="AC7" i="1"/>
  <c r="AK9" i="1"/>
  <c r="Q8" i="1"/>
  <c r="AO7" i="1"/>
  <c r="BQ7" i="1"/>
  <c r="BA7" i="1"/>
  <c r="BI8" i="1"/>
  <c r="E7" i="1" l="1"/>
  <c r="CC7" i="1"/>
  <c r="AW6" i="1"/>
  <c r="BM7" i="1"/>
  <c r="AG7" i="1"/>
  <c r="BU7" i="1"/>
  <c r="Q9" i="1"/>
  <c r="BE8" i="1"/>
  <c r="Y8" i="1"/>
  <c r="M9" i="1"/>
  <c r="BI9" i="1"/>
  <c r="U8" i="1"/>
  <c r="AO8" i="1"/>
  <c r="BA8" i="1"/>
  <c r="AK10" i="1"/>
  <c r="AC8" i="1"/>
  <c r="BY8" i="1"/>
  <c r="BQ8" i="1"/>
  <c r="AS8" i="1"/>
  <c r="I8" i="1"/>
  <c r="E8" i="1" l="1"/>
  <c r="CC8" i="1"/>
  <c r="AW7" i="1"/>
  <c r="BM8" i="1"/>
  <c r="AG8" i="1"/>
  <c r="BU8" i="1"/>
  <c r="BA9" i="1"/>
  <c r="Y9" i="1"/>
  <c r="BY9" i="1"/>
  <c r="AC9" i="1"/>
  <c r="AS9" i="1"/>
  <c r="AO9" i="1"/>
  <c r="BE9" i="1"/>
  <c r="AK11" i="1"/>
  <c r="I9" i="1"/>
  <c r="BI10" i="1"/>
  <c r="Q10" i="1"/>
  <c r="BQ9" i="1"/>
  <c r="U9" i="1"/>
  <c r="M10" i="1"/>
  <c r="E9" i="1" l="1"/>
  <c r="CC9" i="1"/>
  <c r="AW8" i="1"/>
  <c r="BM9" i="1"/>
  <c r="AG9" i="1"/>
  <c r="BU9" i="1"/>
  <c r="AK12" i="1"/>
  <c r="BA10" i="1"/>
  <c r="I10" i="1"/>
  <c r="BQ10" i="1"/>
  <c r="BY10" i="1"/>
  <c r="AO10" i="1"/>
  <c r="Q11" i="1"/>
  <c r="Y10" i="1"/>
  <c r="M11" i="1"/>
  <c r="AS10" i="1"/>
  <c r="U10" i="1"/>
  <c r="BI11" i="1"/>
  <c r="BE10" i="1"/>
  <c r="AC10" i="1"/>
  <c r="E10" i="1" l="1"/>
  <c r="CC10" i="1"/>
  <c r="AW9" i="1"/>
  <c r="BM10" i="1"/>
  <c r="AG10" i="1"/>
  <c r="BU10" i="1"/>
  <c r="M12" i="1"/>
  <c r="BE11" i="1"/>
  <c r="U11" i="1"/>
  <c r="BA11" i="1"/>
  <c r="BQ11" i="1"/>
  <c r="AS11" i="1"/>
  <c r="Q12" i="1"/>
  <c r="AK13" i="1"/>
  <c r="BY11" i="1"/>
  <c r="Y11" i="1"/>
  <c r="AC11" i="1"/>
  <c r="I11" i="1"/>
  <c r="BI12" i="1"/>
  <c r="AO11" i="1"/>
  <c r="E11" i="1" l="1"/>
  <c r="CC11" i="1"/>
  <c r="AW10" i="1"/>
  <c r="BM11" i="1"/>
  <c r="AG11" i="1"/>
  <c r="BU11" i="1"/>
  <c r="Q13" i="1"/>
  <c r="M13" i="1"/>
  <c r="AS12" i="1"/>
  <c r="BE12" i="1"/>
  <c r="I12" i="1"/>
  <c r="BY12" i="1"/>
  <c r="BA12" i="1"/>
  <c r="BQ12" i="1"/>
  <c r="AO12" i="1"/>
  <c r="AK14" i="1"/>
  <c r="U12" i="1"/>
  <c r="BI13" i="1"/>
  <c r="AC12" i="1"/>
  <c r="Y12" i="1"/>
  <c r="E12" i="1" l="1"/>
  <c r="CC12" i="1"/>
  <c r="AW11" i="1"/>
  <c r="BM12" i="1"/>
  <c r="AG12" i="1"/>
  <c r="BU12" i="1"/>
  <c r="AO13" i="1"/>
  <c r="BY13" i="1"/>
  <c r="Y13" i="1"/>
  <c r="U13" i="1"/>
  <c r="M14" i="1"/>
  <c r="AC13" i="1"/>
  <c r="BE13" i="1"/>
  <c r="I13" i="1"/>
  <c r="BI14" i="1"/>
  <c r="BQ13" i="1"/>
  <c r="AS13" i="1"/>
  <c r="Q14" i="1"/>
  <c r="AK15" i="1"/>
  <c r="BA13" i="1"/>
  <c r="E13" i="1" l="1"/>
  <c r="CC13" i="1"/>
  <c r="AW12" i="1"/>
  <c r="BM13" i="1"/>
  <c r="AG13" i="1"/>
  <c r="BU13" i="1"/>
  <c r="BQ14" i="1"/>
  <c r="M15" i="1"/>
  <c r="AC14" i="1"/>
  <c r="BA14" i="1"/>
  <c r="BI15" i="1"/>
  <c r="AK16" i="1"/>
  <c r="BY14" i="1"/>
  <c r="Y14" i="1"/>
  <c r="I14" i="1"/>
  <c r="U14" i="1"/>
  <c r="AO14" i="1"/>
  <c r="Q15" i="1"/>
  <c r="AS14" i="1"/>
  <c r="BE14" i="1"/>
  <c r="E14" i="1" l="1"/>
  <c r="CC14" i="1"/>
  <c r="AW13" i="1"/>
  <c r="BM14" i="1"/>
  <c r="AG14" i="1"/>
  <c r="BU14" i="1"/>
  <c r="Y15" i="1"/>
  <c r="AC15" i="1"/>
  <c r="Q16" i="1"/>
  <c r="BA15" i="1"/>
  <c r="AO15" i="1"/>
  <c r="BE15" i="1"/>
  <c r="U15" i="1"/>
  <c r="AK17" i="1"/>
  <c r="AS15" i="1"/>
  <c r="I15" i="1"/>
  <c r="BY15" i="1"/>
  <c r="BI16" i="1"/>
  <c r="M16" i="1"/>
  <c r="BQ15" i="1"/>
  <c r="E15" i="1" l="1"/>
  <c r="CC15" i="1"/>
  <c r="AW14" i="1"/>
  <c r="BM15" i="1"/>
  <c r="AG15" i="1"/>
  <c r="BU15" i="1"/>
  <c r="BE16" i="1"/>
  <c r="AK18" i="1"/>
  <c r="BQ16" i="1"/>
  <c r="BY16" i="1"/>
  <c r="AO16" i="1"/>
  <c r="I16" i="1"/>
  <c r="Y16" i="1"/>
  <c r="BI17" i="1"/>
  <c r="Q17" i="1"/>
  <c r="AC16" i="1"/>
  <c r="U16" i="1"/>
  <c r="M17" i="1"/>
  <c r="AS16" i="1"/>
  <c r="BA16" i="1"/>
  <c r="E16" i="1" l="1"/>
  <c r="CC16" i="1"/>
  <c r="AW15" i="1"/>
  <c r="BM16" i="1"/>
  <c r="AG16" i="1"/>
  <c r="BU16" i="1"/>
  <c r="I17" i="1"/>
  <c r="BI18" i="1"/>
  <c r="BE17" i="1"/>
  <c r="U17" i="1"/>
  <c r="AO17" i="1"/>
  <c r="Y17" i="1"/>
  <c r="AS17" i="1"/>
  <c r="BY17" i="1"/>
  <c r="Q18" i="1"/>
  <c r="BA17" i="1"/>
  <c r="AK19" i="1"/>
  <c r="AC17" i="1"/>
  <c r="M18" i="1"/>
  <c r="BQ17" i="1"/>
  <c r="E17" i="1" l="1"/>
  <c r="CC17" i="1"/>
  <c r="AW16" i="1"/>
  <c r="BM17" i="1"/>
  <c r="AG17" i="1"/>
  <c r="BU17" i="1"/>
  <c r="U18" i="1"/>
  <c r="Y18" i="1"/>
  <c r="BA18" i="1"/>
  <c r="BQ18" i="1"/>
  <c r="Q19" i="1"/>
  <c r="BE18" i="1"/>
  <c r="BI19" i="1"/>
  <c r="AS18" i="1"/>
  <c r="AC18" i="1"/>
  <c r="M19" i="1"/>
  <c r="AK20" i="1"/>
  <c r="AO18" i="1"/>
  <c r="I18" i="1"/>
  <c r="BY18" i="1"/>
  <c r="E18" i="1" l="1"/>
  <c r="CC18" i="1"/>
  <c r="AW17" i="1"/>
  <c r="BM18" i="1"/>
  <c r="AG18" i="1"/>
  <c r="BU18" i="1"/>
  <c r="BY19" i="1"/>
  <c r="AC19" i="1"/>
  <c r="AK21" i="1"/>
  <c r="BI20" i="1"/>
  <c r="I19" i="1"/>
  <c r="BE19" i="1"/>
  <c r="Q20" i="1"/>
  <c r="BQ19" i="1"/>
  <c r="M20" i="1"/>
  <c r="BA19" i="1"/>
  <c r="Y19" i="1"/>
  <c r="AO19" i="1"/>
  <c r="AS19" i="1"/>
  <c r="U19" i="1"/>
  <c r="E19" i="1" l="1"/>
  <c r="CC19" i="1"/>
  <c r="AW18" i="1"/>
  <c r="BM19" i="1"/>
  <c r="AG19" i="1"/>
  <c r="BU19" i="1"/>
  <c r="BI21" i="1"/>
  <c r="AC20" i="1"/>
  <c r="U20" i="1"/>
  <c r="BY20" i="1"/>
  <c r="BQ20" i="1"/>
  <c r="AO20" i="1"/>
  <c r="I20" i="1"/>
  <c r="Y20" i="1"/>
  <c r="Q21" i="1"/>
  <c r="BA20" i="1"/>
  <c r="BE20" i="1"/>
  <c r="AS20" i="1"/>
  <c r="M21" i="1"/>
  <c r="AK22" i="1"/>
  <c r="E20" i="1" l="1"/>
  <c r="CC20" i="1"/>
  <c r="AW19" i="1"/>
  <c r="BM20" i="1"/>
  <c r="AG20" i="1"/>
  <c r="BU20" i="1"/>
  <c r="BY21" i="1"/>
  <c r="AC21" i="1"/>
  <c r="AS21" i="1"/>
  <c r="I21" i="1"/>
  <c r="BA21" i="1"/>
  <c r="Y21" i="1"/>
  <c r="BE21" i="1"/>
  <c r="AO21" i="1"/>
  <c r="AK23" i="1"/>
  <c r="M22" i="1"/>
  <c r="Q22" i="1"/>
  <c r="BQ21" i="1"/>
  <c r="U21" i="1"/>
  <c r="BI22" i="1"/>
  <c r="E21" i="1" l="1"/>
  <c r="CC21" i="1"/>
  <c r="AW20" i="1"/>
  <c r="BM21" i="1"/>
  <c r="AG21" i="1"/>
  <c r="BU21" i="1"/>
  <c r="U22" i="1"/>
  <c r="BA22" i="1"/>
  <c r="AO22" i="1"/>
  <c r="I22" i="1"/>
  <c r="Q23" i="1"/>
  <c r="BE22" i="1"/>
  <c r="M23" i="1"/>
  <c r="BI23" i="1"/>
  <c r="AS22" i="1"/>
  <c r="AK24" i="1"/>
  <c r="AC22" i="1"/>
  <c r="BY22" i="1"/>
  <c r="BQ22" i="1"/>
  <c r="Y22" i="1"/>
  <c r="E22" i="1" l="1"/>
  <c r="CC22" i="1"/>
  <c r="AW21" i="1"/>
  <c r="BM22" i="1"/>
  <c r="AG22" i="1"/>
  <c r="BU22" i="1"/>
  <c r="AC23" i="1"/>
  <c r="Y23" i="1"/>
  <c r="BI24" i="1"/>
  <c r="M24" i="1"/>
  <c r="BE23" i="1"/>
  <c r="AK25" i="1"/>
  <c r="BA23" i="1"/>
  <c r="I23" i="1"/>
  <c r="AO23" i="1"/>
  <c r="BQ23" i="1"/>
  <c r="AS23" i="1"/>
  <c r="Q24" i="1"/>
  <c r="BY23" i="1"/>
  <c r="U23" i="1"/>
  <c r="E23" i="1" l="1"/>
  <c r="CC23" i="1"/>
  <c r="AW22" i="1"/>
  <c r="BM23" i="1"/>
  <c r="AG23" i="1"/>
  <c r="BU23" i="1"/>
  <c r="AO24" i="1"/>
  <c r="U24" i="1"/>
  <c r="AK26" i="1"/>
  <c r="Y24" i="1"/>
  <c r="BI25" i="1"/>
  <c r="BQ24" i="1"/>
  <c r="BE24" i="1"/>
  <c r="BY24" i="1"/>
  <c r="I24" i="1"/>
  <c r="Q25" i="1"/>
  <c r="BA24" i="1"/>
  <c r="AS24" i="1"/>
  <c r="M25" i="1"/>
  <c r="AC24" i="1"/>
  <c r="E24" i="1" l="1"/>
  <c r="CC24" i="1"/>
  <c r="AW23" i="1"/>
  <c r="BM24" i="1"/>
  <c r="AG24" i="1"/>
  <c r="BU24" i="1"/>
  <c r="I25" i="1"/>
  <c r="AK27" i="1"/>
  <c r="AS25" i="1"/>
  <c r="BQ25" i="1"/>
  <c r="BI26" i="1"/>
  <c r="BE25" i="1"/>
  <c r="AO25" i="1"/>
  <c r="Q26" i="1"/>
  <c r="AC25" i="1"/>
  <c r="U25" i="1"/>
  <c r="M26" i="1"/>
  <c r="BY25" i="1"/>
  <c r="Y25" i="1"/>
  <c r="BA25" i="1"/>
  <c r="E25" i="1" l="1"/>
  <c r="CC25" i="1"/>
  <c r="AW24" i="1"/>
  <c r="BM25" i="1"/>
  <c r="AG25" i="1"/>
  <c r="BU25" i="1"/>
  <c r="AC26" i="1"/>
  <c r="BA26" i="1"/>
  <c r="M27" i="1"/>
  <c r="BI27" i="1"/>
  <c r="I26" i="1"/>
  <c r="BQ26" i="1"/>
  <c r="BY26" i="1"/>
  <c r="AK28" i="1"/>
  <c r="Q27" i="1"/>
  <c r="AO26" i="1"/>
  <c r="U26" i="1"/>
  <c r="Y26" i="1"/>
  <c r="BE26" i="1"/>
  <c r="AS26" i="1"/>
  <c r="E26" i="1" l="1"/>
  <c r="CC26" i="1"/>
  <c r="AW25" i="1"/>
  <c r="BM26" i="1"/>
  <c r="AG26" i="1"/>
  <c r="BU26" i="1"/>
  <c r="Q28" i="1"/>
  <c r="U27" i="1"/>
  <c r="BI28" i="1"/>
  <c r="BA27" i="1"/>
  <c r="BQ27" i="1"/>
  <c r="AS27" i="1"/>
  <c r="I27" i="1"/>
  <c r="AK29" i="1"/>
  <c r="BE27" i="1"/>
  <c r="Y27" i="1"/>
  <c r="M28" i="1"/>
  <c r="AO27" i="1"/>
  <c r="BY27" i="1"/>
  <c r="AC27" i="1"/>
  <c r="E27" i="1" l="1"/>
  <c r="CC27" i="1"/>
  <c r="AW26" i="1"/>
  <c r="BM27" i="1"/>
  <c r="AG27" i="1"/>
  <c r="BU27" i="1"/>
  <c r="Y28" i="1"/>
  <c r="M29" i="1"/>
  <c r="I28" i="1"/>
  <c r="U28" i="1"/>
  <c r="BI29" i="1"/>
  <c r="Q29" i="1"/>
  <c r="AK30" i="1"/>
  <c r="AC28" i="1"/>
  <c r="BA28" i="1"/>
  <c r="BY28" i="1"/>
  <c r="AS28" i="1"/>
  <c r="BE28" i="1"/>
  <c r="BQ28" i="1"/>
  <c r="AO28" i="1"/>
  <c r="E28" i="1" l="1"/>
  <c r="CC28" i="1"/>
  <c r="AW27" i="1"/>
  <c r="BM28" i="1"/>
  <c r="AG28" i="1"/>
  <c r="BU28" i="1"/>
  <c r="M30" i="1"/>
  <c r="U29" i="1"/>
  <c r="AO29" i="1"/>
  <c r="Y29" i="1"/>
  <c r="BI30" i="1"/>
  <c r="I29" i="1"/>
  <c r="BA29" i="1"/>
  <c r="BE29" i="1"/>
  <c r="AC29" i="1"/>
  <c r="AK31" i="1"/>
  <c r="AS29" i="1"/>
  <c r="BQ29" i="1"/>
  <c r="BY29" i="1"/>
  <c r="Q30" i="1"/>
  <c r="E29" i="1" l="1"/>
  <c r="CC29" i="1"/>
  <c r="AW28" i="1"/>
  <c r="BM29" i="1"/>
  <c r="AG29" i="1"/>
  <c r="BU29" i="1"/>
  <c r="BE30" i="1"/>
  <c r="BQ30" i="1"/>
  <c r="BA30" i="1"/>
  <c r="Q31" i="1"/>
  <c r="BY30" i="1"/>
  <c r="Y30" i="1"/>
  <c r="AS30" i="1"/>
  <c r="AO30" i="1"/>
  <c r="U30" i="1"/>
  <c r="AK32" i="1"/>
  <c r="I30" i="1"/>
  <c r="BI31" i="1"/>
  <c r="M31" i="1"/>
  <c r="AC30" i="1"/>
  <c r="E30" i="1" l="1"/>
  <c r="CC30" i="1"/>
  <c r="AW29" i="1"/>
  <c r="BM30" i="1"/>
  <c r="AG30" i="1"/>
  <c r="BU30" i="1"/>
  <c r="BY31" i="1"/>
  <c r="AC31" i="1"/>
  <c r="BI32" i="1"/>
  <c r="I31" i="1"/>
  <c r="BE31" i="1"/>
  <c r="BQ31" i="1"/>
  <c r="AO31" i="1"/>
  <c r="AS31" i="1"/>
  <c r="Y31" i="1"/>
  <c r="AK33" i="1"/>
  <c r="Q32" i="1"/>
  <c r="M32" i="1"/>
  <c r="U31" i="1"/>
  <c r="BA31" i="1"/>
  <c r="E31" i="1" l="1"/>
  <c r="CC31" i="1"/>
  <c r="AW30" i="1"/>
  <c r="BM31" i="1"/>
  <c r="AG31" i="1"/>
  <c r="BU31" i="1"/>
  <c r="U32" i="1"/>
  <c r="BI33" i="1"/>
  <c r="M33" i="1"/>
  <c r="BE32" i="1"/>
  <c r="Q33" i="1"/>
  <c r="AC32" i="1"/>
  <c r="BQ32" i="1"/>
  <c r="Y32" i="1"/>
  <c r="BA32" i="1"/>
  <c r="AS32" i="1"/>
  <c r="AK34" i="1"/>
  <c r="AO32" i="1"/>
  <c r="I32" i="1"/>
  <c r="BY32" i="1"/>
  <c r="E32" i="1" l="1"/>
  <c r="CC32" i="1"/>
  <c r="AW31" i="1"/>
  <c r="BM32" i="1"/>
  <c r="AG32" i="1"/>
  <c r="BU32" i="1"/>
  <c r="BA33" i="1"/>
  <c r="AK35" i="1"/>
  <c r="Q34" i="1"/>
  <c r="U33" i="1"/>
  <c r="AO33" i="1"/>
  <c r="M34" i="1"/>
  <c r="AC33" i="1"/>
  <c r="BY33" i="1"/>
  <c r="Y33" i="1"/>
  <c r="BI34" i="1"/>
  <c r="I33" i="1"/>
  <c r="AS33" i="1"/>
  <c r="BQ33" i="1"/>
  <c r="BE33" i="1"/>
  <c r="E33" i="1" l="1"/>
  <c r="CC33" i="1"/>
  <c r="AW32" i="1"/>
  <c r="BM33" i="1"/>
  <c r="AG33" i="1"/>
  <c r="BU33" i="1"/>
  <c r="M35" i="1"/>
  <c r="U34" i="1"/>
  <c r="Y34" i="1"/>
  <c r="BE34" i="1"/>
  <c r="BY34" i="1"/>
  <c r="AK36" i="1"/>
  <c r="Q35" i="1"/>
  <c r="BA34" i="1"/>
  <c r="I34" i="1"/>
  <c r="AO34" i="1"/>
  <c r="BQ34" i="1"/>
  <c r="AS34" i="1"/>
  <c r="BI35" i="1"/>
  <c r="AC34" i="1"/>
  <c r="E34" i="1" l="1"/>
  <c r="CC34" i="1"/>
  <c r="AW33" i="1"/>
  <c r="BM34" i="1"/>
  <c r="AG34" i="1"/>
  <c r="BU34" i="1"/>
  <c r="BQ35" i="1"/>
  <c r="U35" i="1"/>
  <c r="I35" i="1"/>
  <c r="BE35" i="1"/>
  <c r="BA35" i="1"/>
  <c r="AK37" i="1"/>
  <c r="AC35" i="1"/>
  <c r="BY35" i="1"/>
  <c r="BI36" i="1"/>
  <c r="M36" i="1"/>
  <c r="AS35" i="1"/>
  <c r="AO35" i="1"/>
  <c r="Q36" i="1"/>
  <c r="Y35" i="1"/>
  <c r="E35" i="1" l="1"/>
  <c r="CC35" i="1"/>
  <c r="AW34" i="1"/>
  <c r="BM35" i="1"/>
  <c r="AG35" i="1"/>
  <c r="BU35" i="1"/>
  <c r="I36" i="1"/>
  <c r="AO36" i="1"/>
  <c r="BY36" i="1"/>
  <c r="M37" i="1"/>
  <c r="BI37" i="1"/>
  <c r="AK38" i="1"/>
  <c r="AS36" i="1"/>
  <c r="Y36" i="1"/>
  <c r="U36" i="1"/>
  <c r="BA36" i="1"/>
  <c r="Q37" i="1"/>
  <c r="BQ36" i="1"/>
  <c r="AC36" i="1"/>
  <c r="BE36" i="1"/>
  <c r="E36" i="1" l="1"/>
  <c r="CC36" i="1"/>
  <c r="AW35" i="1"/>
  <c r="BM36" i="1"/>
  <c r="AG36" i="1"/>
  <c r="BU36" i="1"/>
  <c r="Q38" i="1"/>
  <c r="AK39" i="1"/>
  <c r="BY37" i="1"/>
  <c r="AO37" i="1"/>
  <c r="AS37" i="1"/>
  <c r="Y37" i="1"/>
  <c r="M38" i="1"/>
  <c r="BA37" i="1"/>
  <c r="BE37" i="1"/>
  <c r="AC37" i="1"/>
  <c r="BI38" i="1"/>
  <c r="BQ37" i="1"/>
  <c r="U37" i="1"/>
  <c r="I37" i="1"/>
  <c r="E37" i="1" l="1"/>
  <c r="CC37" i="1"/>
  <c r="AW36" i="1"/>
  <c r="BM37" i="1"/>
  <c r="AG37" i="1"/>
  <c r="BU37" i="1"/>
  <c r="BY38" i="1"/>
  <c r="AS38" i="1"/>
  <c r="BA38" i="1"/>
  <c r="U38" i="1"/>
  <c r="M39" i="1"/>
  <c r="Q39" i="1"/>
  <c r="BQ38" i="1"/>
  <c r="Y38" i="1"/>
  <c r="I38" i="1"/>
  <c r="BE38" i="1"/>
  <c r="AK40" i="1"/>
  <c r="BI39" i="1"/>
  <c r="AO38" i="1"/>
  <c r="AC38" i="1"/>
  <c r="E38" i="1" l="1"/>
  <c r="CC38" i="1"/>
  <c r="AW37" i="1"/>
  <c r="BM38" i="1"/>
  <c r="AG38" i="1"/>
  <c r="BU38" i="1"/>
  <c r="Y39" i="1"/>
  <c r="AS39" i="1"/>
  <c r="AK41" i="1"/>
  <c r="Q40" i="1"/>
  <c r="AC39" i="1"/>
  <c r="BA39" i="1"/>
  <c r="BI40" i="1"/>
  <c r="U39" i="1"/>
  <c r="BQ39" i="1"/>
  <c r="BE39" i="1"/>
  <c r="BY39" i="1"/>
  <c r="I39" i="1"/>
  <c r="AO39" i="1"/>
  <c r="M40" i="1"/>
  <c r="E39" i="1" l="1"/>
  <c r="CC39" i="1"/>
  <c r="AW38" i="1"/>
  <c r="BM39" i="1"/>
  <c r="AG39" i="1"/>
  <c r="BU39" i="1"/>
  <c r="BA40" i="1"/>
  <c r="Q41" i="1"/>
  <c r="M41" i="1"/>
  <c r="BQ40" i="1"/>
  <c r="AK42" i="1"/>
  <c r="I40" i="1"/>
  <c r="AC40" i="1"/>
  <c r="BY40" i="1"/>
  <c r="U40" i="1"/>
  <c r="AS40" i="1"/>
  <c r="AO40" i="1"/>
  <c r="BE40" i="1"/>
  <c r="BI41" i="1"/>
  <c r="Y40" i="1"/>
  <c r="E40" i="1" l="1"/>
  <c r="CC40" i="1"/>
  <c r="AW39" i="1"/>
  <c r="BM40" i="1"/>
  <c r="AG40" i="1"/>
  <c r="BU40" i="1"/>
  <c r="AO41" i="1"/>
  <c r="AS41" i="1"/>
  <c r="M42" i="1"/>
  <c r="AC41" i="1"/>
  <c r="Y41" i="1"/>
  <c r="I41" i="1"/>
  <c r="BQ41" i="1"/>
  <c r="U41" i="1"/>
  <c r="BI42" i="1"/>
  <c r="BA41" i="1"/>
  <c r="BE41" i="1"/>
  <c r="BY41" i="1"/>
  <c r="AK43" i="1"/>
  <c r="Q42" i="1"/>
  <c r="E41" i="1" l="1"/>
  <c r="CC41" i="1"/>
  <c r="AW40" i="1"/>
  <c r="BM41" i="1"/>
  <c r="AG41" i="1"/>
  <c r="BU41" i="1"/>
  <c r="BQ42" i="1"/>
  <c r="BE42" i="1"/>
  <c r="M43" i="1"/>
  <c r="Q43" i="1"/>
  <c r="AK44" i="1"/>
  <c r="AC42" i="1"/>
  <c r="U42" i="1"/>
  <c r="BA42" i="1"/>
  <c r="Y42" i="1"/>
  <c r="AS42" i="1"/>
  <c r="AO42" i="1"/>
  <c r="BI43" i="1"/>
  <c r="BY42" i="1"/>
  <c r="I42" i="1"/>
  <c r="E42" i="1" l="1"/>
  <c r="CC42" i="1"/>
  <c r="AW41" i="1"/>
  <c r="BM42" i="1"/>
  <c r="AG42" i="1"/>
  <c r="BU42" i="1"/>
  <c r="U43" i="1"/>
  <c r="AO43" i="1"/>
  <c r="AC43" i="1"/>
  <c r="M44" i="1"/>
  <c r="BE43" i="1"/>
  <c r="BQ43" i="1"/>
  <c r="BI44" i="1"/>
  <c r="Q44" i="1"/>
  <c r="AS43" i="1"/>
  <c r="I43" i="1"/>
  <c r="BY43" i="1"/>
  <c r="Y43" i="1"/>
  <c r="AK45" i="1"/>
  <c r="BA43" i="1"/>
  <c r="E43" i="1" l="1"/>
  <c r="CC43" i="1"/>
  <c r="AW42" i="1"/>
  <c r="BM43" i="1"/>
  <c r="AG43" i="1"/>
  <c r="BU43" i="1"/>
  <c r="AO44" i="1"/>
  <c r="AC44" i="1"/>
  <c r="BE44" i="1"/>
  <c r="BQ44" i="1"/>
  <c r="BA44" i="1"/>
  <c r="I44" i="1"/>
  <c r="Y44" i="1"/>
  <c r="BY44" i="1"/>
  <c r="AS44" i="1"/>
  <c r="U44" i="1"/>
  <c r="AK46" i="1"/>
  <c r="Q45" i="1"/>
  <c r="BI45" i="1"/>
  <c r="M45" i="1"/>
  <c r="E44" i="1" l="1"/>
  <c r="CC44" i="1"/>
  <c r="AW43" i="1"/>
  <c r="BM44" i="1"/>
  <c r="AG44" i="1"/>
  <c r="BU44" i="1"/>
  <c r="U45" i="1"/>
  <c r="AC45" i="1"/>
  <c r="Y45" i="1"/>
  <c r="I45" i="1"/>
  <c r="M46" i="1"/>
  <c r="AS45" i="1"/>
  <c r="AO45" i="1"/>
  <c r="BQ45" i="1"/>
  <c r="BE45" i="1"/>
  <c r="Q46" i="1"/>
  <c r="BI46" i="1"/>
  <c r="AK47" i="1"/>
  <c r="BY45" i="1"/>
  <c r="BA45" i="1"/>
  <c r="E45" i="1" l="1"/>
  <c r="CC45" i="1"/>
  <c r="AW44" i="1"/>
  <c r="BM45" i="1"/>
  <c r="AG45" i="1"/>
  <c r="BU45" i="1"/>
  <c r="Y46" i="1"/>
  <c r="BI47" i="1"/>
  <c r="BA46" i="1"/>
  <c r="BQ46" i="1"/>
  <c r="AS46" i="1"/>
  <c r="AC46" i="1"/>
  <c r="Q47" i="1"/>
  <c r="BY46" i="1"/>
  <c r="M47" i="1"/>
  <c r="BE46" i="1"/>
  <c r="AO46" i="1"/>
  <c r="I46" i="1"/>
  <c r="AK48" i="1"/>
  <c r="U46" i="1"/>
  <c r="E46" i="1" l="1"/>
  <c r="CC46" i="1"/>
  <c r="AW45" i="1"/>
  <c r="BM46" i="1"/>
  <c r="AG46" i="1"/>
  <c r="BU46" i="1"/>
  <c r="BY47" i="1"/>
  <c r="AO47" i="1"/>
  <c r="AS47" i="1"/>
  <c r="U47" i="1"/>
  <c r="BQ47" i="1"/>
  <c r="BI48" i="1"/>
  <c r="BE47" i="1"/>
  <c r="Q48" i="1"/>
  <c r="AK49" i="1"/>
  <c r="BA47" i="1"/>
  <c r="I47" i="1"/>
  <c r="Y47" i="1"/>
  <c r="M48" i="1"/>
  <c r="AC47" i="1"/>
  <c r="E47" i="1" l="1"/>
  <c r="CC47" i="1"/>
  <c r="AW46" i="1"/>
  <c r="BM47" i="1"/>
  <c r="AG47" i="1"/>
  <c r="BU47" i="1"/>
  <c r="BI49" i="1"/>
  <c r="AS48" i="1"/>
  <c r="I48" i="1"/>
  <c r="AO48" i="1"/>
  <c r="AC48" i="1"/>
  <c r="Q49" i="1"/>
  <c r="M49" i="1"/>
  <c r="BA48" i="1"/>
  <c r="BQ48" i="1"/>
  <c r="Y48" i="1"/>
  <c r="AK50" i="1"/>
  <c r="BE48" i="1"/>
  <c r="U48" i="1"/>
  <c r="BY48" i="1"/>
  <c r="E48" i="1" l="1"/>
  <c r="CC48" i="1"/>
  <c r="AW47" i="1"/>
  <c r="BM48" i="1"/>
  <c r="AG48" i="1"/>
  <c r="BU48" i="1"/>
  <c r="Q50" i="1"/>
  <c r="AK51" i="1"/>
  <c r="Y49" i="1"/>
  <c r="AS49" i="1"/>
  <c r="BA49" i="1"/>
  <c r="BY49" i="1"/>
  <c r="M50" i="1"/>
  <c r="AC49" i="1"/>
  <c r="BI50" i="1"/>
  <c r="AO49" i="1"/>
  <c r="U49" i="1"/>
  <c r="BQ49" i="1"/>
  <c r="BE49" i="1"/>
  <c r="I49" i="1"/>
  <c r="E49" i="1" l="1"/>
  <c r="CC49" i="1"/>
  <c r="AW48" i="1"/>
  <c r="BM49" i="1"/>
  <c r="AG49" i="1"/>
  <c r="BU49" i="1"/>
  <c r="AS50" i="1"/>
  <c r="Y50" i="1"/>
  <c r="M51" i="1"/>
  <c r="AC50" i="1"/>
  <c r="BE50" i="1"/>
  <c r="AO50" i="1"/>
  <c r="BQ50" i="1"/>
  <c r="BY50" i="1"/>
  <c r="AK52" i="1"/>
  <c r="BI51" i="1"/>
  <c r="Q51" i="1"/>
  <c r="I50" i="1"/>
  <c r="U50" i="1"/>
  <c r="BA50" i="1"/>
  <c r="E50" i="1" l="1"/>
  <c r="CC50" i="1"/>
  <c r="AW49" i="1"/>
  <c r="BM50" i="1"/>
  <c r="AG50" i="1"/>
  <c r="BU50" i="1"/>
  <c r="M52" i="1"/>
  <c r="AO51" i="1"/>
  <c r="Y51" i="1"/>
  <c r="U51" i="1"/>
  <c r="AK53" i="1"/>
  <c r="I51" i="1"/>
  <c r="Q52" i="1"/>
  <c r="BE51" i="1"/>
  <c r="AC51" i="1"/>
  <c r="BA51" i="1"/>
  <c r="BI52" i="1"/>
  <c r="BQ51" i="1"/>
  <c r="BY51" i="1"/>
  <c r="AS51" i="1"/>
  <c r="E51" i="1" l="1"/>
  <c r="CC51" i="1"/>
  <c r="AW50" i="1"/>
  <c r="BM51" i="1"/>
  <c r="AG51" i="1"/>
  <c r="BU51" i="1"/>
  <c r="I52" i="1"/>
  <c r="BI53" i="1"/>
  <c r="M53" i="1"/>
  <c r="AC52" i="1"/>
  <c r="AK54" i="1"/>
  <c r="BQ52" i="1"/>
  <c r="AO52" i="1"/>
  <c r="AS52" i="1"/>
  <c r="BE52" i="1"/>
  <c r="BA52" i="1"/>
  <c r="U52" i="1"/>
  <c r="Q53" i="1"/>
  <c r="BY52" i="1"/>
  <c r="Y52" i="1"/>
  <c r="E52" i="1" l="1"/>
  <c r="CC52" i="1"/>
  <c r="AW51" i="1"/>
  <c r="BM52" i="1"/>
  <c r="AG52" i="1"/>
  <c r="BU52" i="1"/>
  <c r="AC53" i="1"/>
  <c r="BA53" i="1"/>
  <c r="Q54" i="1"/>
  <c r="BI54" i="1"/>
  <c r="AO53" i="1"/>
  <c r="U53" i="1"/>
  <c r="Y53" i="1"/>
  <c r="AS53" i="1"/>
  <c r="I53" i="1"/>
  <c r="M54" i="1"/>
  <c r="BE53" i="1"/>
  <c r="BQ53" i="1"/>
  <c r="BY53" i="1"/>
  <c r="AK55" i="1"/>
  <c r="E53" i="1" l="1"/>
  <c r="CC53" i="1"/>
  <c r="AW52" i="1"/>
  <c r="BM53" i="1"/>
  <c r="AG53" i="1"/>
  <c r="BU53" i="1"/>
  <c r="Y54" i="1"/>
  <c r="BQ54" i="1"/>
  <c r="BA54" i="1"/>
  <c r="BY54" i="1"/>
  <c r="Q55" i="1"/>
  <c r="AK56" i="1"/>
  <c r="U54" i="1"/>
  <c r="BE54" i="1"/>
  <c r="I54" i="1"/>
  <c r="M55" i="1"/>
  <c r="AS54" i="1"/>
  <c r="AO54" i="1"/>
  <c r="BI55" i="1"/>
  <c r="AC54" i="1"/>
  <c r="E54" i="1" l="1"/>
  <c r="CC54" i="1"/>
  <c r="AW53" i="1"/>
  <c r="BM54" i="1"/>
  <c r="AG54" i="1"/>
  <c r="BU54" i="1"/>
  <c r="BY55" i="1"/>
  <c r="AO55" i="1"/>
  <c r="BE55" i="1"/>
  <c r="AK57" i="1"/>
  <c r="M56" i="1"/>
  <c r="I55" i="1"/>
  <c r="BI56" i="1"/>
  <c r="AC55" i="1"/>
  <c r="BA55" i="1"/>
  <c r="U55" i="1"/>
  <c r="AS55" i="1"/>
  <c r="BQ55" i="1"/>
  <c r="Q56" i="1"/>
  <c r="Y55" i="1"/>
  <c r="E55" i="1" l="1"/>
  <c r="CC55" i="1"/>
  <c r="AW54" i="1"/>
  <c r="BM55" i="1"/>
  <c r="AG55" i="1"/>
  <c r="BU55" i="1"/>
  <c r="AK58" i="1"/>
  <c r="AS56" i="1"/>
  <c r="Y56" i="1"/>
  <c r="BQ56" i="1"/>
  <c r="I56" i="1"/>
  <c r="U56" i="1"/>
  <c r="BE56" i="1"/>
  <c r="BI57" i="1"/>
  <c r="Q57" i="1"/>
  <c r="BA56" i="1"/>
  <c r="AO56" i="1"/>
  <c r="M57" i="1"/>
  <c r="AC56" i="1"/>
  <c r="BY56" i="1"/>
  <c r="E56" i="1" l="1"/>
  <c r="CC56" i="1"/>
  <c r="AW55" i="1"/>
  <c r="BM56" i="1"/>
  <c r="AG56" i="1"/>
  <c r="BU56" i="1"/>
  <c r="BI58" i="1"/>
  <c r="BE57" i="1"/>
  <c r="AS57" i="1"/>
  <c r="AK59" i="1"/>
  <c r="Y57" i="1"/>
  <c r="BY57" i="1"/>
  <c r="AO57" i="1"/>
  <c r="U57" i="1"/>
  <c r="AC57" i="1"/>
  <c r="BA57" i="1"/>
  <c r="I57" i="1"/>
  <c r="Q58" i="1"/>
  <c r="BQ57" i="1"/>
  <c r="M58" i="1"/>
  <c r="E57" i="1" l="1"/>
  <c r="CC57" i="1"/>
  <c r="AW56" i="1"/>
  <c r="BM57" i="1"/>
  <c r="AG57" i="1"/>
  <c r="BU57" i="1"/>
  <c r="AC58" i="1"/>
  <c r="BQ58" i="1"/>
  <c r="BY58" i="1"/>
  <c r="Q59" i="1"/>
  <c r="Y58" i="1"/>
  <c r="BE58" i="1"/>
  <c r="M59" i="1"/>
  <c r="I58" i="1"/>
  <c r="U58" i="1"/>
  <c r="AK60" i="1"/>
  <c r="AO58" i="1"/>
  <c r="BI59" i="1"/>
  <c r="BA58" i="1"/>
  <c r="AS58" i="1"/>
  <c r="E58" i="1" l="1"/>
  <c r="CC58" i="1"/>
  <c r="AW57" i="1"/>
  <c r="BM58" i="1"/>
  <c r="AG58" i="1"/>
  <c r="BU58" i="1"/>
  <c r="BI60" i="1"/>
  <c r="BQ59" i="1"/>
  <c r="AO59" i="1"/>
  <c r="Q60" i="1"/>
  <c r="BA59" i="1"/>
  <c r="U59" i="1"/>
  <c r="Y59" i="1"/>
  <c r="AS59" i="1"/>
  <c r="I59" i="1"/>
  <c r="M60" i="1"/>
  <c r="AC59" i="1"/>
  <c r="AK61" i="1"/>
  <c r="BE59" i="1"/>
  <c r="BY59" i="1"/>
  <c r="E59" i="1" l="1"/>
  <c r="CC59" i="1"/>
  <c r="AW58" i="1"/>
  <c r="BM59" i="1"/>
  <c r="AG59" i="1"/>
  <c r="BU59" i="1"/>
  <c r="I60" i="1"/>
  <c r="AS60" i="1"/>
  <c r="Y60" i="1"/>
  <c r="BQ60" i="1"/>
  <c r="AC60" i="1"/>
  <c r="U60" i="1"/>
  <c r="AK62" i="1"/>
  <c r="AO60" i="1"/>
  <c r="BY60" i="1"/>
  <c r="BA60" i="1"/>
  <c r="BE60" i="1"/>
  <c r="Q61" i="1"/>
  <c r="BI61" i="1"/>
  <c r="M61" i="1"/>
  <c r="E60" i="1" l="1"/>
  <c r="CC60" i="1"/>
  <c r="AW59" i="1"/>
  <c r="BM60" i="1"/>
  <c r="AG60" i="1"/>
  <c r="BU60" i="1"/>
  <c r="AC61" i="1"/>
  <c r="BE61" i="1"/>
  <c r="BA61" i="1"/>
  <c r="AS61" i="1"/>
  <c r="M62" i="1"/>
  <c r="AO61" i="1"/>
  <c r="BQ61" i="1"/>
  <c r="Y61" i="1"/>
  <c r="BI62" i="1"/>
  <c r="BY61" i="1"/>
  <c r="AK63" i="1"/>
  <c r="I61" i="1"/>
  <c r="Q62" i="1"/>
  <c r="U61" i="1"/>
  <c r="E61" i="1" l="1"/>
  <c r="CC61" i="1"/>
  <c r="AW60" i="1"/>
  <c r="BM61" i="1"/>
  <c r="AG61" i="1"/>
  <c r="BU61" i="1"/>
  <c r="Q63" i="1"/>
  <c r="BI63" i="1"/>
  <c r="I62" i="1"/>
  <c r="BY62" i="1"/>
  <c r="BQ62" i="1"/>
  <c r="AO62" i="1"/>
  <c r="BA62" i="1"/>
  <c r="U62" i="1"/>
  <c r="M63" i="1"/>
  <c r="BE62" i="1"/>
  <c r="Y62" i="1"/>
  <c r="AK64" i="1"/>
  <c r="AS62" i="1"/>
  <c r="AC62" i="1"/>
  <c r="E62" i="1" l="1"/>
  <c r="CC62" i="1"/>
  <c r="AW61" i="1"/>
  <c r="BM62" i="1"/>
  <c r="AG62" i="1"/>
  <c r="BU62" i="1"/>
  <c r="M64" i="1"/>
  <c r="I63" i="1"/>
  <c r="AC63" i="1"/>
  <c r="U63" i="1"/>
  <c r="BQ63" i="1"/>
  <c r="AS63" i="1"/>
  <c r="BA63" i="1"/>
  <c r="BE63" i="1"/>
  <c r="AO63" i="1"/>
  <c r="BI64" i="1"/>
  <c r="Y63" i="1"/>
  <c r="Q64" i="1"/>
  <c r="BY63" i="1"/>
  <c r="AK65" i="1"/>
  <c r="E63" i="1" l="1"/>
  <c r="CC63" i="1"/>
  <c r="AW62" i="1"/>
  <c r="BM63" i="1"/>
  <c r="AG63" i="1"/>
  <c r="BU63" i="1"/>
  <c r="BA64" i="1"/>
  <c r="BQ64" i="1"/>
  <c r="Q65" i="1"/>
  <c r="I64" i="1"/>
  <c r="BE64" i="1"/>
  <c r="AC64" i="1"/>
  <c r="Y64" i="1"/>
  <c r="AS64" i="1"/>
  <c r="BI65" i="1"/>
  <c r="AO64" i="1"/>
  <c r="AK66" i="1"/>
  <c r="BY64" i="1"/>
  <c r="U64" i="1"/>
  <c r="M65" i="1"/>
  <c r="E64" i="1" l="1"/>
  <c r="CC64" i="1"/>
  <c r="AW63" i="1"/>
  <c r="BM64" i="1"/>
  <c r="AG64" i="1"/>
  <c r="BU64" i="1"/>
  <c r="Q66" i="1"/>
  <c r="AK67" i="1"/>
  <c r="AO65" i="1"/>
  <c r="M66" i="1"/>
  <c r="AC65" i="1"/>
  <c r="BQ65" i="1"/>
  <c r="I65" i="1"/>
  <c r="U65" i="1"/>
  <c r="BI66" i="1"/>
  <c r="Y65" i="1"/>
  <c r="BE65" i="1"/>
  <c r="BA65" i="1"/>
  <c r="BY65" i="1"/>
  <c r="AS65" i="1"/>
  <c r="E65" i="1" l="1"/>
  <c r="CC65" i="1"/>
  <c r="AW64" i="1"/>
  <c r="BM65" i="1"/>
  <c r="AG65" i="1"/>
  <c r="BU65" i="1"/>
  <c r="AO66" i="1"/>
  <c r="BQ66" i="1"/>
  <c r="BI67" i="1"/>
  <c r="Y66" i="1"/>
  <c r="I66" i="1"/>
  <c r="BA66" i="1"/>
  <c r="BE66" i="1"/>
  <c r="AS66" i="1"/>
  <c r="AC66" i="1"/>
  <c r="AK68" i="1"/>
  <c r="Q67" i="1"/>
  <c r="BY66" i="1"/>
  <c r="U66" i="1"/>
  <c r="M67" i="1"/>
  <c r="E66" i="1" l="1"/>
  <c r="CC66" i="1"/>
  <c r="AW65" i="1"/>
  <c r="BM66" i="1"/>
  <c r="AG66" i="1"/>
  <c r="BU66" i="1"/>
  <c r="I67" i="1"/>
  <c r="BY67" i="1"/>
  <c r="AS67" i="1"/>
  <c r="BQ67" i="1"/>
  <c r="Q68" i="1"/>
  <c r="BE67" i="1"/>
  <c r="M68" i="1"/>
  <c r="Y67" i="1"/>
  <c r="U67" i="1"/>
  <c r="AK69" i="1"/>
  <c r="AO67" i="1"/>
  <c r="AC67" i="1"/>
  <c r="BA67" i="1"/>
  <c r="BI68" i="1"/>
  <c r="E67" i="1" l="1"/>
  <c r="CC67" i="1"/>
  <c r="AW66" i="1"/>
  <c r="BM67" i="1"/>
  <c r="AG67" i="1"/>
  <c r="BU67" i="1"/>
  <c r="BQ68" i="1"/>
  <c r="BE68" i="1"/>
  <c r="U68" i="1"/>
  <c r="AS68" i="1"/>
  <c r="AC68" i="1"/>
  <c r="Y68" i="1"/>
  <c r="BI69" i="1"/>
  <c r="AO68" i="1"/>
  <c r="BY68" i="1"/>
  <c r="Q69" i="1"/>
  <c r="I68" i="1"/>
  <c r="BA68" i="1"/>
  <c r="AK70" i="1"/>
  <c r="M69" i="1"/>
  <c r="E68" i="1" l="1"/>
  <c r="CC68" i="1"/>
  <c r="AW67" i="1"/>
  <c r="BM68" i="1"/>
  <c r="AG68" i="1"/>
  <c r="BU68" i="1"/>
  <c r="I69" i="1"/>
  <c r="AC69" i="1"/>
  <c r="BE69" i="1"/>
  <c r="BI70" i="1"/>
  <c r="M70" i="1"/>
  <c r="Q70" i="1"/>
  <c r="AK71" i="1"/>
  <c r="BY69" i="1"/>
  <c r="AS69" i="1"/>
  <c r="AO69" i="1"/>
  <c r="BA69" i="1"/>
  <c r="Y69" i="1"/>
  <c r="U69" i="1"/>
  <c r="BQ69" i="1"/>
  <c r="E69" i="1" l="1"/>
  <c r="CC69" i="1"/>
  <c r="AW68" i="1"/>
  <c r="BM69" i="1"/>
  <c r="AG69" i="1"/>
  <c r="BU69" i="1"/>
  <c r="BI71" i="1"/>
  <c r="AK72" i="1"/>
  <c r="BE70" i="1"/>
  <c r="I70" i="1"/>
  <c r="BA70" i="1"/>
  <c r="BY70" i="1"/>
  <c r="Q71" i="1"/>
  <c r="AO70" i="1"/>
  <c r="M71" i="1"/>
  <c r="BQ70" i="1"/>
  <c r="U70" i="1"/>
  <c r="AS70" i="1"/>
  <c r="AC70" i="1"/>
  <c r="Y70" i="1"/>
  <c r="E70" i="1" l="1"/>
  <c r="CC70" i="1"/>
  <c r="AW69" i="1"/>
  <c r="BM70" i="1"/>
  <c r="AG70" i="1"/>
  <c r="BU70" i="1"/>
  <c r="U71" i="1"/>
  <c r="BQ71" i="1"/>
  <c r="AK73" i="1"/>
  <c r="Y71" i="1"/>
  <c r="BY71" i="1"/>
  <c r="AS71" i="1"/>
  <c r="BA71" i="1"/>
  <c r="Q72" i="1"/>
  <c r="BE71" i="1"/>
  <c r="AC71" i="1"/>
  <c r="M72" i="1"/>
  <c r="AO71" i="1"/>
  <c r="I71" i="1"/>
  <c r="BI72" i="1"/>
  <c r="E71" i="1" l="1"/>
  <c r="CC71" i="1"/>
  <c r="AW70" i="1"/>
  <c r="BM71" i="1"/>
  <c r="AG71" i="1"/>
  <c r="BU71" i="1"/>
  <c r="BE72" i="1"/>
  <c r="BQ72" i="1"/>
  <c r="BY72" i="1"/>
  <c r="Q73" i="1"/>
  <c r="I72" i="1"/>
  <c r="AS72" i="1"/>
  <c r="BI73" i="1"/>
  <c r="Y72" i="1"/>
  <c r="M73" i="1"/>
  <c r="AO72" i="1"/>
  <c r="AC72" i="1"/>
  <c r="BA72" i="1"/>
  <c r="AK74" i="1"/>
  <c r="U72" i="1"/>
  <c r="E72" i="1" l="1"/>
  <c r="CC72" i="1"/>
  <c r="AW71" i="1"/>
  <c r="BM72" i="1"/>
  <c r="AG72" i="1"/>
  <c r="BU72" i="1"/>
  <c r="AC73" i="1"/>
  <c r="Y73" i="1"/>
  <c r="AS73" i="1"/>
  <c r="BY73" i="1"/>
  <c r="AO73" i="1"/>
  <c r="U73" i="1"/>
  <c r="BQ73" i="1"/>
  <c r="I73" i="1"/>
  <c r="AK75" i="1"/>
  <c r="BA73" i="1"/>
  <c r="M74" i="1"/>
  <c r="BI74" i="1"/>
  <c r="Q74" i="1"/>
  <c r="BE73" i="1"/>
  <c r="E73" i="1" l="1"/>
  <c r="CC73" i="1"/>
  <c r="AW72" i="1"/>
  <c r="BM73" i="1"/>
  <c r="AG73" i="1"/>
  <c r="BU73" i="1"/>
  <c r="M75" i="1"/>
  <c r="AK76" i="1"/>
  <c r="BA74" i="1"/>
  <c r="I74" i="1"/>
  <c r="BE74" i="1"/>
  <c r="Q75" i="1"/>
  <c r="BY74" i="1"/>
  <c r="U74" i="1"/>
  <c r="AS74" i="1"/>
  <c r="Y74" i="1"/>
  <c r="AO74" i="1"/>
  <c r="BI75" i="1"/>
  <c r="BQ74" i="1"/>
  <c r="AC74" i="1"/>
  <c r="E74" i="1" l="1"/>
  <c r="CC74" i="1"/>
  <c r="AW73" i="1"/>
  <c r="BM74" i="1"/>
  <c r="AG74" i="1"/>
  <c r="BU74" i="1"/>
  <c r="U75" i="1"/>
  <c r="M76" i="1"/>
  <c r="BI76" i="1"/>
  <c r="I75" i="1"/>
  <c r="BY75" i="1"/>
  <c r="Q76" i="1"/>
  <c r="AC75" i="1"/>
  <c r="AO75" i="1"/>
  <c r="BA75" i="1"/>
  <c r="Y75" i="1"/>
  <c r="AS75" i="1"/>
  <c r="BE75" i="1"/>
  <c r="BQ75" i="1"/>
  <c r="AK77" i="1"/>
  <c r="E75" i="1" l="1"/>
  <c r="CC75" i="1"/>
  <c r="AW74" i="1"/>
  <c r="BM75" i="1"/>
  <c r="AG75" i="1"/>
  <c r="BU75" i="1"/>
  <c r="BI77" i="1"/>
  <c r="M77" i="1"/>
  <c r="BY76" i="1"/>
  <c r="AO76" i="1"/>
  <c r="AK78" i="1"/>
  <c r="BE76" i="1"/>
  <c r="AS76" i="1"/>
  <c r="Y76" i="1"/>
  <c r="AC76" i="1"/>
  <c r="I76" i="1"/>
  <c r="U76" i="1"/>
  <c r="BQ76" i="1"/>
  <c r="Q77" i="1"/>
  <c r="BA76" i="1"/>
  <c r="E76" i="1" l="1"/>
  <c r="CC76" i="1"/>
  <c r="AW75" i="1"/>
  <c r="BM76" i="1"/>
  <c r="AG76" i="1"/>
  <c r="BU76" i="1"/>
  <c r="AC77" i="1"/>
  <c r="AK79" i="1"/>
  <c r="AO77" i="1"/>
  <c r="BQ77" i="1"/>
  <c r="Y77" i="1"/>
  <c r="BE77" i="1"/>
  <c r="BY77" i="1"/>
  <c r="I77" i="1"/>
  <c r="AS77" i="1"/>
  <c r="BI78" i="1"/>
  <c r="Q78" i="1"/>
  <c r="BA77" i="1"/>
  <c r="U77" i="1"/>
  <c r="M78" i="1"/>
  <c r="E77" i="1" l="1"/>
  <c r="CC77" i="1"/>
  <c r="AW76" i="1"/>
  <c r="BM77" i="1"/>
  <c r="AG77" i="1"/>
  <c r="BU77" i="1"/>
  <c r="AO78" i="1"/>
  <c r="BE78" i="1"/>
  <c r="AK80" i="1"/>
  <c r="AS78" i="1"/>
  <c r="Y78" i="1"/>
  <c r="BI79" i="1"/>
  <c r="BA78" i="1"/>
  <c r="I78" i="1"/>
  <c r="BY78" i="1"/>
  <c r="U78" i="1"/>
  <c r="M79" i="1"/>
  <c r="Q79" i="1"/>
  <c r="BQ78" i="1"/>
  <c r="AC78" i="1"/>
  <c r="E78" i="1" l="1"/>
  <c r="CC78" i="1"/>
  <c r="AW77" i="1"/>
  <c r="BM78" i="1"/>
  <c r="AG78" i="1"/>
  <c r="BU78" i="1"/>
  <c r="AC79" i="1"/>
  <c r="AK81" i="1"/>
  <c r="M80" i="1"/>
  <c r="Y79" i="1"/>
  <c r="U79" i="1"/>
  <c r="Q80" i="1"/>
  <c r="AS79" i="1"/>
  <c r="BE79" i="1"/>
  <c r="I79" i="1"/>
  <c r="BQ79" i="1"/>
  <c r="BA79" i="1"/>
  <c r="AO79" i="1"/>
  <c r="BY79" i="1"/>
  <c r="BI80" i="1"/>
  <c r="E79" i="1" l="1"/>
  <c r="CC79" i="1"/>
  <c r="AW78" i="1"/>
  <c r="BM79" i="1"/>
  <c r="AG79" i="1"/>
  <c r="BU79" i="1"/>
  <c r="BA80" i="1"/>
  <c r="BI81" i="1"/>
  <c r="AS80" i="1"/>
  <c r="I80" i="1"/>
  <c r="M81" i="1"/>
  <c r="BE80" i="1"/>
  <c r="Y80" i="1"/>
  <c r="BQ80" i="1"/>
  <c r="Q81" i="1"/>
  <c r="BY80" i="1"/>
  <c r="AO80" i="1"/>
  <c r="U80" i="1"/>
  <c r="AK82" i="1"/>
  <c r="AC80" i="1"/>
  <c r="E80" i="1" l="1"/>
  <c r="CC80" i="1"/>
  <c r="AW79" i="1"/>
  <c r="BM80" i="1"/>
  <c r="AG80" i="1"/>
  <c r="BU80" i="1"/>
  <c r="U81" i="1"/>
  <c r="Y81" i="1"/>
  <c r="BE81" i="1"/>
  <c r="I81" i="1"/>
  <c r="BA81" i="1"/>
  <c r="AO81" i="1"/>
  <c r="AC81" i="1"/>
  <c r="BY81" i="1"/>
  <c r="BQ81" i="1"/>
  <c r="AS81" i="1"/>
  <c r="AK83" i="1"/>
  <c r="Q82" i="1"/>
  <c r="M82" i="1"/>
  <c r="BI82" i="1"/>
  <c r="E81" i="1" l="1"/>
  <c r="CC81" i="1"/>
  <c r="AW80" i="1"/>
  <c r="BM81" i="1"/>
  <c r="AG81" i="1"/>
  <c r="BU81" i="1"/>
  <c r="Y82" i="1"/>
  <c r="BI83" i="1"/>
  <c r="M83" i="1"/>
  <c r="I82" i="1"/>
  <c r="U82" i="1"/>
  <c r="AO82" i="1"/>
  <c r="AC82" i="1"/>
  <c r="AS82" i="1"/>
  <c r="AK84" i="1"/>
  <c r="BY82" i="1"/>
  <c r="BA82" i="1"/>
  <c r="Q83" i="1"/>
  <c r="BQ82" i="1"/>
  <c r="BE82" i="1"/>
  <c r="E82" i="1" l="1"/>
  <c r="CC82" i="1"/>
  <c r="AW81" i="1"/>
  <c r="BM82" i="1"/>
  <c r="AG82" i="1"/>
  <c r="BU82" i="1"/>
  <c r="Q84" i="1"/>
  <c r="AK85" i="1"/>
  <c r="AO83" i="1"/>
  <c r="U83" i="1"/>
  <c r="BE83" i="1"/>
  <c r="BI84" i="1"/>
  <c r="BA83" i="1"/>
  <c r="M84" i="1"/>
  <c r="AS83" i="1"/>
  <c r="Y83" i="1"/>
  <c r="BQ83" i="1"/>
  <c r="BY83" i="1"/>
  <c r="AC83" i="1"/>
  <c r="I83" i="1"/>
  <c r="E83" i="1" l="1"/>
  <c r="CC83" i="1"/>
  <c r="AW82" i="1"/>
  <c r="BM83" i="1"/>
  <c r="AG83" i="1"/>
  <c r="BU83" i="1"/>
  <c r="AS84" i="1"/>
  <c r="BQ84" i="1"/>
  <c r="AO84" i="1"/>
  <c r="BY84" i="1"/>
  <c r="Y84" i="1"/>
  <c r="I84" i="1"/>
  <c r="Q85" i="1"/>
  <c r="U84" i="1"/>
  <c r="BA84" i="1"/>
  <c r="BI85" i="1"/>
  <c r="BE84" i="1"/>
  <c r="AC84" i="1"/>
  <c r="M85" i="1"/>
  <c r="AK86" i="1"/>
  <c r="E84" i="1" l="1"/>
  <c r="CC84" i="1"/>
  <c r="AW83" i="1"/>
  <c r="BM84" i="1"/>
  <c r="AG84" i="1"/>
  <c r="BU84" i="1"/>
  <c r="BY85" i="1"/>
  <c r="BI86" i="1"/>
  <c r="I85" i="1"/>
  <c r="AK87" i="1"/>
  <c r="BE85" i="1"/>
  <c r="BA85" i="1"/>
  <c r="BQ85" i="1"/>
  <c r="AC85" i="1"/>
  <c r="Q86" i="1"/>
  <c r="AO85" i="1"/>
  <c r="M86" i="1"/>
  <c r="U85" i="1"/>
  <c r="Y85" i="1"/>
  <c r="AS85" i="1"/>
  <c r="E85" i="1" l="1"/>
  <c r="CC85" i="1"/>
  <c r="AW84" i="1"/>
  <c r="BM85" i="1"/>
  <c r="AG85" i="1"/>
  <c r="BU85" i="1"/>
  <c r="U86" i="1"/>
  <c r="Q87" i="1"/>
  <c r="M87" i="1"/>
  <c r="BA86" i="1"/>
  <c r="AS86" i="1"/>
  <c r="BI87" i="1"/>
  <c r="AK88" i="1"/>
  <c r="I86" i="1"/>
  <c r="BQ86" i="1"/>
  <c r="AO86" i="1"/>
  <c r="Y86" i="1"/>
  <c r="AC86" i="1"/>
  <c r="BE86" i="1"/>
  <c r="BY86" i="1"/>
  <c r="E86" i="1" l="1"/>
  <c r="CC86" i="1"/>
  <c r="AW85" i="1"/>
  <c r="BM86" i="1"/>
  <c r="AG86" i="1"/>
  <c r="BU86" i="1"/>
  <c r="AO87" i="1"/>
  <c r="Y87" i="1"/>
  <c r="AS87" i="1"/>
  <c r="BY87" i="1"/>
  <c r="BQ87" i="1"/>
  <c r="I87" i="1"/>
  <c r="Q88" i="1"/>
  <c r="BI88" i="1"/>
  <c r="BE87" i="1"/>
  <c r="BA87" i="1"/>
  <c r="AC87" i="1"/>
  <c r="AK89" i="1"/>
  <c r="M88" i="1"/>
  <c r="U87" i="1"/>
  <c r="E87" i="1" l="1"/>
  <c r="CC87" i="1"/>
  <c r="AW86" i="1"/>
  <c r="BM87" i="1"/>
  <c r="AG87" i="1"/>
  <c r="BU87" i="1"/>
  <c r="Q89" i="1"/>
  <c r="AC88" i="1"/>
  <c r="BY88" i="1"/>
  <c r="AS88" i="1"/>
  <c r="Y88" i="1"/>
  <c r="I88" i="1"/>
  <c r="BQ88" i="1"/>
  <c r="BE88" i="1"/>
  <c r="U88" i="1"/>
  <c r="M89" i="1"/>
  <c r="AK90" i="1"/>
  <c r="BI89" i="1"/>
  <c r="BA88" i="1"/>
  <c r="AO88" i="1"/>
  <c r="E88" i="1" l="1"/>
  <c r="CC88" i="1"/>
  <c r="AW87" i="1"/>
  <c r="BM88" i="1"/>
  <c r="AG88" i="1"/>
  <c r="BU88" i="1"/>
  <c r="BI90" i="1"/>
  <c r="AK91" i="1"/>
  <c r="M90" i="1"/>
  <c r="Y89" i="1"/>
  <c r="I89" i="1"/>
  <c r="U89" i="1"/>
  <c r="BY89" i="1"/>
  <c r="AO89" i="1"/>
  <c r="AC89" i="1"/>
  <c r="BE89" i="1"/>
  <c r="BA89" i="1"/>
  <c r="BQ89" i="1"/>
  <c r="AS89" i="1"/>
  <c r="Q90" i="1"/>
  <c r="E89" i="1" l="1"/>
  <c r="CC89" i="1"/>
  <c r="AW88" i="1"/>
  <c r="BM89" i="1"/>
  <c r="AG89" i="1"/>
  <c r="BU89" i="1"/>
  <c r="BI91" i="1"/>
  <c r="AK92" i="1"/>
  <c r="BQ90" i="1"/>
  <c r="AC90" i="1"/>
  <c r="I90" i="1"/>
  <c r="AO90" i="1"/>
  <c r="Q91" i="1"/>
  <c r="BA90" i="1"/>
  <c r="BY90" i="1"/>
  <c r="Y90" i="1"/>
  <c r="BE90" i="1"/>
  <c r="M91" i="1"/>
  <c r="AS90" i="1"/>
  <c r="U90" i="1"/>
  <c r="E90" i="1" l="1"/>
  <c r="CC90" i="1"/>
  <c r="AW89" i="1"/>
  <c r="BM90" i="1"/>
  <c r="AG90" i="1"/>
  <c r="BU90" i="1"/>
  <c r="M92" i="1"/>
  <c r="AK93" i="1"/>
  <c r="U91" i="1"/>
  <c r="AO91" i="1"/>
  <c r="I91" i="1"/>
  <c r="Q92" i="1"/>
  <c r="AS91" i="1"/>
  <c r="BI92" i="1"/>
  <c r="BQ91" i="1"/>
  <c r="BA91" i="1"/>
  <c r="BE91" i="1"/>
  <c r="Y91" i="1"/>
  <c r="AC91" i="1"/>
  <c r="BY91" i="1"/>
  <c r="E91" i="1" l="1"/>
  <c r="CC91" i="1"/>
  <c r="AW90" i="1"/>
  <c r="BM91" i="1"/>
  <c r="AG91" i="1"/>
  <c r="BU91" i="1"/>
  <c r="Y92" i="1"/>
  <c r="BQ92" i="1"/>
  <c r="BI93" i="1"/>
  <c r="AO92" i="1"/>
  <c r="U92" i="1"/>
  <c r="AK94" i="1"/>
  <c r="BE92" i="1"/>
  <c r="I92" i="1"/>
  <c r="BY92" i="1"/>
  <c r="AS92" i="1"/>
  <c r="AC92" i="1"/>
  <c r="BA92" i="1"/>
  <c r="M93" i="1"/>
  <c r="Q93" i="1"/>
  <c r="E92" i="1" l="1"/>
  <c r="CC92" i="1"/>
  <c r="AW91" i="1"/>
  <c r="BM92" i="1"/>
  <c r="AG92" i="1"/>
  <c r="BU92" i="1"/>
  <c r="AC93" i="1"/>
  <c r="AK95" i="1"/>
  <c r="U93" i="1"/>
  <c r="BA93" i="1"/>
  <c r="BE93" i="1"/>
  <c r="AS93" i="1"/>
  <c r="Q94" i="1"/>
  <c r="M94" i="1"/>
  <c r="BY93" i="1"/>
  <c r="BI94" i="1"/>
  <c r="I93" i="1"/>
  <c r="AO93" i="1"/>
  <c r="BQ93" i="1"/>
  <c r="Y93" i="1"/>
  <c r="E93" i="1" l="1"/>
  <c r="CC93" i="1"/>
  <c r="AW92" i="1"/>
  <c r="BM93" i="1"/>
  <c r="AG93" i="1"/>
  <c r="BU93" i="1"/>
  <c r="I94" i="1"/>
  <c r="Y94" i="1"/>
  <c r="BQ94" i="1"/>
  <c r="BA94" i="1"/>
  <c r="Q95" i="1"/>
  <c r="U94" i="1"/>
  <c r="AC94" i="1"/>
  <c r="BE94" i="1"/>
  <c r="M95" i="1"/>
  <c r="BI95" i="1"/>
  <c r="AS94" i="1"/>
  <c r="AK96" i="1"/>
  <c r="BY94" i="1"/>
  <c r="AO94" i="1"/>
  <c r="E94" i="1" l="1"/>
  <c r="CC94" i="1"/>
  <c r="AW93" i="1"/>
  <c r="BM94" i="1"/>
  <c r="AG94" i="1"/>
  <c r="BU94" i="1"/>
  <c r="BA95" i="1"/>
  <c r="AO95" i="1"/>
  <c r="BI96" i="1"/>
  <c r="AS95" i="1"/>
  <c r="BQ95" i="1"/>
  <c r="BY95" i="1"/>
  <c r="BE95" i="1"/>
  <c r="AC95" i="1"/>
  <c r="U95" i="1"/>
  <c r="Y95" i="1"/>
  <c r="AK97" i="1"/>
  <c r="M96" i="1"/>
  <c r="Q96" i="1"/>
  <c r="I95" i="1"/>
  <c r="E95" i="1" l="1"/>
  <c r="CC95" i="1"/>
  <c r="AW94" i="1"/>
  <c r="BM95" i="1"/>
  <c r="AG95" i="1"/>
  <c r="BU95" i="1"/>
  <c r="AK98" i="1"/>
  <c r="AS96" i="1"/>
  <c r="Q97" i="1"/>
  <c r="AC96" i="1"/>
  <c r="U96" i="1"/>
  <c r="BA96" i="1"/>
  <c r="I96" i="1"/>
  <c r="BI97" i="1"/>
  <c r="Y96" i="1"/>
  <c r="AO96" i="1"/>
  <c r="BY96" i="1"/>
  <c r="M97" i="1"/>
  <c r="BE96" i="1"/>
  <c r="BQ96" i="1"/>
  <c r="E96" i="1" l="1"/>
  <c r="CC96" i="1"/>
  <c r="AW95" i="1"/>
  <c r="BM96" i="1"/>
  <c r="AG96" i="1"/>
  <c r="BU96" i="1"/>
  <c r="U97" i="1"/>
  <c r="BY97" i="1"/>
  <c r="AS97" i="1"/>
  <c r="AC97" i="1"/>
  <c r="BE97" i="1"/>
  <c r="Q98" i="1"/>
  <c r="AO97" i="1"/>
  <c r="M98" i="1"/>
  <c r="AK99" i="1"/>
  <c r="I97" i="1"/>
  <c r="BQ97" i="1"/>
  <c r="Y97" i="1"/>
  <c r="BI98" i="1"/>
  <c r="BA97" i="1"/>
  <c r="E97" i="1" l="1"/>
  <c r="CC97" i="1"/>
  <c r="AW96" i="1"/>
  <c r="BM97" i="1"/>
  <c r="AG97" i="1"/>
  <c r="BU97" i="1"/>
  <c r="BQ98" i="1"/>
  <c r="AC98" i="1"/>
  <c r="M99" i="1"/>
  <c r="AS98" i="1"/>
  <c r="Q99" i="1"/>
  <c r="AO98" i="1"/>
  <c r="BA98" i="1"/>
  <c r="I98" i="1"/>
  <c r="BI99" i="1"/>
  <c r="BY98" i="1"/>
  <c r="Y98" i="1"/>
  <c r="BE98" i="1"/>
  <c r="AK100" i="1"/>
  <c r="U98" i="1"/>
  <c r="E98" i="1" l="1"/>
  <c r="CC98" i="1"/>
  <c r="AW97" i="1"/>
  <c r="BM98" i="1"/>
  <c r="AG98" i="1"/>
  <c r="BU98" i="1"/>
  <c r="Y99" i="1"/>
  <c r="M100" i="1"/>
  <c r="BY99" i="1"/>
  <c r="AO99" i="1"/>
  <c r="Q100" i="1"/>
  <c r="U99" i="1"/>
  <c r="AC99" i="1"/>
  <c r="AK101" i="1"/>
  <c r="I99" i="1"/>
  <c r="BA99" i="1"/>
  <c r="BE99" i="1"/>
  <c r="BI100" i="1"/>
  <c r="AS99" i="1"/>
  <c r="BQ99" i="1"/>
  <c r="E99" i="1" l="1"/>
  <c r="CC99" i="1"/>
  <c r="AW98" i="1"/>
  <c r="BM99" i="1"/>
  <c r="AG99" i="1"/>
  <c r="BU99" i="1"/>
  <c r="BA100" i="1"/>
  <c r="I100" i="1"/>
  <c r="AO100" i="1"/>
  <c r="AC100" i="1"/>
  <c r="BE100" i="1"/>
  <c r="AS100" i="1"/>
  <c r="BQ100" i="1"/>
  <c r="BY100" i="1"/>
  <c r="M101" i="1"/>
  <c r="U100" i="1"/>
  <c r="Y100" i="1"/>
  <c r="BI101" i="1"/>
  <c r="AK102" i="1"/>
  <c r="Q101" i="1"/>
  <c r="E100" i="1" l="1"/>
  <c r="CC100" i="1"/>
  <c r="AW99" i="1"/>
  <c r="BM100" i="1"/>
  <c r="AG100" i="1"/>
  <c r="BU100" i="1"/>
  <c r="BY101" i="1"/>
  <c r="Q102" i="1"/>
  <c r="U101" i="1"/>
  <c r="AC101" i="1"/>
  <c r="AO101" i="1"/>
  <c r="AK103" i="1"/>
  <c r="Y101" i="1"/>
  <c r="M102" i="1"/>
  <c r="AS101" i="1"/>
  <c r="BE101" i="1"/>
  <c r="I101" i="1"/>
  <c r="BQ101" i="1"/>
  <c r="BA101" i="1"/>
  <c r="BI102" i="1"/>
  <c r="E101" i="1" l="1"/>
  <c r="CC101" i="1"/>
  <c r="AW100" i="1"/>
  <c r="BM101" i="1"/>
  <c r="AG101" i="1"/>
  <c r="BU101" i="1"/>
  <c r="Y102" i="1"/>
  <c r="AS102" i="1"/>
  <c r="Q103" i="1"/>
  <c r="BE102" i="1"/>
  <c r="U102" i="1"/>
  <c r="AK104" i="1"/>
  <c r="BQ102" i="1"/>
  <c r="AO102" i="1"/>
  <c r="BI103" i="1"/>
  <c r="BA102" i="1"/>
  <c r="I102" i="1"/>
  <c r="M103" i="1"/>
  <c r="AC102" i="1"/>
  <c r="BY102" i="1"/>
  <c r="E102" i="1" l="1"/>
  <c r="CC102" i="1"/>
  <c r="AW101" i="1"/>
  <c r="BM102" i="1"/>
  <c r="AG102" i="1"/>
  <c r="BU102" i="1"/>
  <c r="I103" i="1"/>
  <c r="BY103" i="1"/>
  <c r="BE103" i="1"/>
  <c r="BA103" i="1"/>
  <c r="AS103" i="1"/>
  <c r="AC103" i="1"/>
  <c r="AO103" i="1"/>
  <c r="BQ103" i="1"/>
  <c r="AK105" i="1"/>
  <c r="Q104" i="1"/>
  <c r="M104" i="1"/>
  <c r="BI104" i="1"/>
  <c r="U103" i="1"/>
  <c r="Y103" i="1"/>
  <c r="E103" i="1" l="1"/>
  <c r="CC103" i="1"/>
  <c r="AW102" i="1"/>
  <c r="BM103" i="1"/>
  <c r="AG103" i="1"/>
  <c r="BU103" i="1"/>
  <c r="AS104" i="1"/>
  <c r="M105" i="1"/>
  <c r="Y104" i="1"/>
  <c r="BQ104" i="1"/>
  <c r="BY104" i="1"/>
  <c r="Q105" i="1"/>
  <c r="AO104" i="1"/>
  <c r="BE104" i="1"/>
  <c r="I104" i="1"/>
  <c r="BA104" i="1"/>
  <c r="U104" i="1"/>
  <c r="BI105" i="1"/>
  <c r="AK106" i="1"/>
  <c r="AC104" i="1"/>
  <c r="E104" i="1" l="1"/>
  <c r="CC104" i="1"/>
  <c r="AW103" i="1"/>
  <c r="BM104" i="1"/>
  <c r="AG104" i="1"/>
  <c r="BU104" i="1"/>
  <c r="BQ105" i="1"/>
  <c r="BE105" i="1"/>
  <c r="AC105" i="1"/>
  <c r="AK107" i="1"/>
  <c r="BY105" i="1"/>
  <c r="Y105" i="1"/>
  <c r="AO105" i="1"/>
  <c r="AS105" i="1"/>
  <c r="I105" i="1"/>
  <c r="U105" i="1"/>
  <c r="BA105" i="1"/>
  <c r="M106" i="1"/>
  <c r="Q106" i="1"/>
  <c r="BI106" i="1"/>
  <c r="E105" i="1" l="1"/>
  <c r="CC105" i="1"/>
  <c r="AW104" i="1"/>
  <c r="BM105" i="1"/>
  <c r="AG105" i="1"/>
  <c r="BU105" i="1"/>
  <c r="BI107" i="1"/>
  <c r="BA106" i="1"/>
  <c r="AK108" i="1"/>
  <c r="AO106" i="1"/>
  <c r="Q107" i="1"/>
  <c r="Y106" i="1"/>
  <c r="AS106" i="1"/>
  <c r="I106" i="1"/>
  <c r="AC106" i="1"/>
  <c r="BE106" i="1"/>
  <c r="U106" i="1"/>
  <c r="M107" i="1"/>
  <c r="BY106" i="1"/>
  <c r="BQ106" i="1"/>
  <c r="E106" i="1" l="1"/>
  <c r="CC106" i="1"/>
  <c r="AW105" i="1"/>
  <c r="BM106" i="1"/>
  <c r="AG106" i="1"/>
  <c r="BU106" i="1"/>
  <c r="Y107" i="1"/>
  <c r="AK109" i="1"/>
  <c r="BQ107" i="1"/>
  <c r="BA107" i="1"/>
  <c r="BI108" i="1"/>
  <c r="I107" i="1"/>
  <c r="U107" i="1"/>
  <c r="Q108" i="1"/>
  <c r="AO107" i="1"/>
  <c r="AC107" i="1"/>
  <c r="BE107" i="1"/>
  <c r="BY107" i="1"/>
  <c r="M108" i="1"/>
  <c r="AS107" i="1"/>
  <c r="E107" i="1" l="1"/>
  <c r="CC107" i="1"/>
  <c r="AW106" i="1"/>
  <c r="BM107" i="1"/>
  <c r="AG107" i="1"/>
  <c r="BU107" i="1"/>
  <c r="I108" i="1"/>
  <c r="BA108" i="1"/>
  <c r="BY108" i="1"/>
  <c r="AS108" i="1"/>
  <c r="BQ108" i="1"/>
  <c r="AO108" i="1"/>
  <c r="M109" i="1"/>
  <c r="U108" i="1"/>
  <c r="AC108" i="1"/>
  <c r="BI109" i="1"/>
  <c r="AK110" i="1"/>
  <c r="BE108" i="1"/>
  <c r="Q109" i="1"/>
  <c r="Y108" i="1"/>
  <c r="E108" i="1" l="1"/>
  <c r="CC108" i="1"/>
  <c r="AW107" i="1"/>
  <c r="BM108" i="1"/>
  <c r="AG108" i="1"/>
  <c r="BU108" i="1"/>
  <c r="AO109" i="1"/>
  <c r="Y109" i="1"/>
  <c r="BA109" i="1"/>
  <c r="AC109" i="1"/>
  <c r="BQ109" i="1"/>
  <c r="Q110" i="1"/>
  <c r="BE109" i="1"/>
  <c r="BY109" i="1"/>
  <c r="AK111" i="1"/>
  <c r="U109" i="1"/>
  <c r="BI110" i="1"/>
  <c r="M110" i="1"/>
  <c r="AS109" i="1"/>
  <c r="I109" i="1"/>
  <c r="E109" i="1" l="1"/>
  <c r="CC109" i="1"/>
  <c r="AW108" i="1"/>
  <c r="BM109" i="1"/>
  <c r="AG109" i="1"/>
  <c r="BU109" i="1"/>
  <c r="BY110" i="1"/>
  <c r="BA110" i="1"/>
  <c r="I110" i="1"/>
  <c r="BE110" i="1"/>
  <c r="Y110" i="1"/>
  <c r="BI111" i="1"/>
  <c r="AC110" i="1"/>
  <c r="Q111" i="1"/>
  <c r="AS110" i="1"/>
  <c r="U110" i="1"/>
  <c r="M111" i="1"/>
  <c r="AK112" i="1"/>
  <c r="BQ110" i="1"/>
  <c r="AO110" i="1"/>
  <c r="E110" i="1" l="1"/>
  <c r="CC110" i="1"/>
  <c r="AW109" i="1"/>
  <c r="BM110" i="1"/>
  <c r="AG110" i="1"/>
  <c r="BU110" i="1"/>
  <c r="AS111" i="1"/>
  <c r="M112" i="1"/>
  <c r="Q112" i="1"/>
  <c r="Y111" i="1"/>
  <c r="I111" i="1"/>
  <c r="BI112" i="1"/>
  <c r="AO111" i="1"/>
  <c r="BA111" i="1"/>
  <c r="U111" i="1"/>
  <c r="BE111" i="1"/>
  <c r="BQ111" i="1"/>
  <c r="AK113" i="1"/>
  <c r="AC111" i="1"/>
  <c r="BY111" i="1"/>
  <c r="E111" i="1" l="1"/>
  <c r="CC111" i="1"/>
  <c r="AW110" i="1"/>
  <c r="BM111" i="1"/>
  <c r="AG111" i="1"/>
  <c r="BU111" i="1"/>
  <c r="AK114" i="1"/>
  <c r="AC112" i="1"/>
  <c r="I112" i="1"/>
  <c r="M113" i="1"/>
  <c r="Y112" i="1"/>
  <c r="U112" i="1"/>
  <c r="Q113" i="1"/>
  <c r="BA112" i="1"/>
  <c r="BQ112" i="1"/>
  <c r="BE112" i="1"/>
  <c r="AS112" i="1"/>
  <c r="BI113" i="1"/>
  <c r="BY112" i="1"/>
  <c r="AO112" i="1"/>
  <c r="E112" i="1" l="1"/>
  <c r="CC112" i="1"/>
  <c r="AW111" i="1"/>
  <c r="BM112" i="1"/>
  <c r="AG112" i="1"/>
  <c r="BU112" i="1"/>
  <c r="BE113" i="1"/>
  <c r="Y113" i="1"/>
  <c r="BY113" i="1"/>
  <c r="M114" i="1"/>
  <c r="I113" i="1"/>
  <c r="AO113" i="1"/>
  <c r="AC113" i="1"/>
  <c r="U113" i="1"/>
  <c r="BQ113" i="1"/>
  <c r="BI114" i="1"/>
  <c r="BA113" i="1"/>
  <c r="AS113" i="1"/>
  <c r="Q114" i="1"/>
  <c r="AK115" i="1"/>
  <c r="E113" i="1" l="1"/>
  <c r="CC113" i="1"/>
  <c r="AW112" i="1"/>
  <c r="BM113" i="1"/>
  <c r="AG113" i="1"/>
  <c r="BU113" i="1"/>
  <c r="BY114" i="1"/>
  <c r="BA114" i="1"/>
  <c r="I114" i="1"/>
  <c r="M115" i="1"/>
  <c r="BQ114" i="1"/>
  <c r="AK116" i="1"/>
  <c r="U114" i="1"/>
  <c r="BI115" i="1"/>
  <c r="AO114" i="1"/>
  <c r="Y114" i="1"/>
  <c r="Q115" i="1"/>
  <c r="AS114" i="1"/>
  <c r="AC114" i="1"/>
  <c r="BE114" i="1"/>
  <c r="E114" i="1" l="1"/>
  <c r="CC114" i="1"/>
  <c r="AW113" i="1"/>
  <c r="BM114" i="1"/>
  <c r="AG114" i="1"/>
  <c r="BU114" i="1"/>
  <c r="AS115" i="1"/>
  <c r="M116" i="1"/>
  <c r="I115" i="1"/>
  <c r="AC115" i="1"/>
  <c r="BE115" i="1"/>
  <c r="BI116" i="1"/>
  <c r="Y115" i="1"/>
  <c r="AK117" i="1"/>
  <c r="BQ115" i="1"/>
  <c r="Q116" i="1"/>
  <c r="U115" i="1"/>
  <c r="AO115" i="1"/>
  <c r="BA115" i="1"/>
  <c r="BY115" i="1"/>
  <c r="E115" i="1" l="1"/>
  <c r="CC115" i="1"/>
  <c r="AW114" i="1"/>
  <c r="BM115" i="1"/>
  <c r="AG115" i="1"/>
  <c r="BU115" i="1"/>
  <c r="BI117" i="1"/>
  <c r="AK118" i="1"/>
  <c r="BA116" i="1"/>
  <c r="M117" i="1"/>
  <c r="AC116" i="1"/>
  <c r="U116" i="1"/>
  <c r="BE116" i="1"/>
  <c r="BY116" i="1"/>
  <c r="I116" i="1"/>
  <c r="Q117" i="1"/>
  <c r="Y116" i="1"/>
  <c r="AO116" i="1"/>
  <c r="BQ116" i="1"/>
  <c r="AS116" i="1"/>
  <c r="E116" i="1" l="1"/>
  <c r="CC116" i="1"/>
  <c r="AW115" i="1"/>
  <c r="BM116" i="1"/>
  <c r="AG116" i="1"/>
  <c r="BU116" i="1"/>
  <c r="M118" i="1"/>
  <c r="BY117" i="1"/>
  <c r="I117" i="1"/>
  <c r="Y117" i="1"/>
  <c r="AS117" i="1"/>
  <c r="U117" i="1"/>
  <c r="AK119" i="1"/>
  <c r="BA117" i="1"/>
  <c r="BQ117" i="1"/>
  <c r="AC117" i="1"/>
  <c r="AO117" i="1"/>
  <c r="BE117" i="1"/>
  <c r="Q118" i="1"/>
  <c r="BI118" i="1"/>
  <c r="E117" i="1" l="1"/>
  <c r="CC117" i="1"/>
  <c r="AW116" i="1"/>
  <c r="BM117" i="1"/>
  <c r="AG117" i="1"/>
  <c r="BU117" i="1"/>
  <c r="AS118" i="1"/>
  <c r="AK120" i="1"/>
  <c r="BI119" i="1"/>
  <c r="U118" i="1"/>
  <c r="BA118" i="1"/>
  <c r="BE118" i="1"/>
  <c r="BY118" i="1"/>
  <c r="I118" i="1"/>
  <c r="AO118" i="1"/>
  <c r="Q119" i="1"/>
  <c r="AC118" i="1"/>
  <c r="BQ118" i="1"/>
  <c r="Y118" i="1"/>
  <c r="M119" i="1"/>
  <c r="E118" i="1" l="1"/>
  <c r="CC118" i="1"/>
  <c r="AW117" i="1"/>
  <c r="BM118" i="1"/>
  <c r="AG118" i="1"/>
  <c r="BU118" i="1"/>
  <c r="BI120" i="1"/>
  <c r="AO119" i="1"/>
  <c r="AK121" i="1"/>
  <c r="AC119" i="1"/>
  <c r="AS119" i="1"/>
  <c r="BE119" i="1"/>
  <c r="BA119" i="1"/>
  <c r="Q120" i="1"/>
  <c r="BQ119" i="1"/>
  <c r="I119" i="1"/>
  <c r="M120" i="1"/>
  <c r="Y119" i="1"/>
  <c r="BY119" i="1"/>
  <c r="U119" i="1"/>
  <c r="E119" i="1" l="1"/>
  <c r="CC119" i="1"/>
  <c r="AW118" i="1"/>
  <c r="BM119" i="1"/>
  <c r="AG119" i="1"/>
  <c r="BU119" i="1"/>
  <c r="BY120" i="1"/>
  <c r="AK122" i="1"/>
  <c r="Y120" i="1"/>
  <c r="AO120" i="1"/>
  <c r="Q121" i="1"/>
  <c r="BQ120" i="1"/>
  <c r="AC120" i="1"/>
  <c r="U120" i="1"/>
  <c r="M121" i="1"/>
  <c r="BE120" i="1"/>
  <c r="I120" i="1"/>
  <c r="BA120" i="1"/>
  <c r="AS120" i="1"/>
  <c r="BI121" i="1"/>
  <c r="E120" i="1" l="1"/>
  <c r="CC120" i="1"/>
  <c r="AW119" i="1"/>
  <c r="BM120" i="1"/>
  <c r="AG120" i="1"/>
  <c r="BU120" i="1"/>
  <c r="I121" i="1"/>
  <c r="Y121" i="1"/>
  <c r="AO121" i="1"/>
  <c r="AC121" i="1"/>
  <c r="BQ121" i="1"/>
  <c r="Q122" i="1"/>
  <c r="U121" i="1"/>
  <c r="BE121" i="1"/>
  <c r="AK124" i="1"/>
  <c r="AK123" i="1"/>
  <c r="AS121" i="1"/>
  <c r="BI122" i="1"/>
  <c r="M122" i="1"/>
  <c r="BA121" i="1"/>
  <c r="BY121" i="1"/>
  <c r="E121" i="1" l="1"/>
  <c r="CC121" i="1"/>
  <c r="AW120" i="1"/>
  <c r="BM121" i="1"/>
  <c r="AG121" i="1"/>
  <c r="BU121" i="1"/>
  <c r="BE122" i="1"/>
  <c r="BY122" i="1"/>
  <c r="AO122" i="1"/>
  <c r="AS122" i="1"/>
  <c r="BA122" i="1"/>
  <c r="AC122" i="1"/>
  <c r="BI124" i="1"/>
  <c r="BI123" i="1"/>
  <c r="U122" i="1"/>
  <c r="Q123" i="1"/>
  <c r="Q124" i="1"/>
  <c r="Y122" i="1"/>
  <c r="BQ122" i="1"/>
  <c r="M124" i="1"/>
  <c r="M123" i="1"/>
  <c r="I122" i="1"/>
  <c r="E122" i="1" l="1"/>
  <c r="CC122" i="1"/>
  <c r="AW121" i="1"/>
  <c r="BM122" i="1"/>
  <c r="AG122" i="1"/>
  <c r="BU122" i="1"/>
  <c r="BY124" i="1"/>
  <c r="BY123" i="1"/>
  <c r="U123" i="1"/>
  <c r="U124" i="1"/>
  <c r="BA123" i="1"/>
  <c r="BA124" i="1"/>
  <c r="BQ124" i="1"/>
  <c r="BQ123" i="1"/>
  <c r="AS124" i="1"/>
  <c r="AS123" i="1"/>
  <c r="I123" i="1"/>
  <c r="I124" i="1"/>
  <c r="Y124" i="1"/>
  <c r="Y123" i="1"/>
  <c r="AC123" i="1"/>
  <c r="AC124" i="1"/>
  <c r="AO123" i="1"/>
  <c r="AO124" i="1"/>
  <c r="BE124" i="1"/>
  <c r="BE123" i="1"/>
  <c r="E124" i="1" l="1"/>
  <c r="E123" i="1"/>
  <c r="CC124" i="1"/>
  <c r="CC123" i="1"/>
  <c r="AW122" i="1"/>
  <c r="BM123" i="1"/>
  <c r="BM124" i="1"/>
  <c r="AG123" i="1"/>
  <c r="AG124" i="1"/>
  <c r="BU124" i="1"/>
  <c r="BU123" i="1"/>
  <c r="AW124" i="1" l="1"/>
  <c r="AW1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<sst xmlns="http://schemas.openxmlformats.org/spreadsheetml/2006/main" count="120" uniqueCount="98">
  <si>
    <t>DAY</t>
  </si>
  <si>
    <t>1996</t>
  </si>
  <si>
    <t>diff_1996</t>
  </si>
  <si>
    <t>CUSUM_1996</t>
  </si>
  <si>
    <t>Filtered_1996</t>
  </si>
  <si>
    <t>1997</t>
  </si>
  <si>
    <t>diff_1997</t>
  </si>
  <si>
    <t>CUSUM_1997</t>
  </si>
  <si>
    <t>Filtered_1997</t>
  </si>
  <si>
    <t>1998</t>
  </si>
  <si>
    <t>diff_1998</t>
  </si>
  <si>
    <t>CUSUM_1998</t>
  </si>
  <si>
    <t>FILTER_1998</t>
  </si>
  <si>
    <t>1999</t>
  </si>
  <si>
    <t>diff-1999</t>
  </si>
  <si>
    <t>CUSUM-1999</t>
  </si>
  <si>
    <t>filter-1999</t>
  </si>
  <si>
    <t>2000</t>
  </si>
  <si>
    <t>diff-2000</t>
  </si>
  <si>
    <t>CUSUM-2000</t>
  </si>
  <si>
    <t>Filter-2000</t>
  </si>
  <si>
    <t>2001</t>
  </si>
  <si>
    <t>diff-2001</t>
  </si>
  <si>
    <t>CUSUM-2001</t>
  </si>
  <si>
    <t>Filter-2001</t>
  </si>
  <si>
    <t>2002</t>
  </si>
  <si>
    <t>diff-2002</t>
  </si>
  <si>
    <t>cusum-2002</t>
  </si>
  <si>
    <t>filter-2002</t>
  </si>
  <si>
    <t>2003</t>
  </si>
  <si>
    <t>diff-2003</t>
  </si>
  <si>
    <t>cusum-2003</t>
  </si>
  <si>
    <t>filter-2003</t>
  </si>
  <si>
    <t>2004</t>
  </si>
  <si>
    <t>diff-2004</t>
  </si>
  <si>
    <t>cusum-2004</t>
  </si>
  <si>
    <t>filter-2004</t>
  </si>
  <si>
    <t>2005</t>
  </si>
  <si>
    <t>diff-2005</t>
  </si>
  <si>
    <t>cusum-2005</t>
  </si>
  <si>
    <t>filter-2005</t>
  </si>
  <si>
    <t>2006</t>
  </si>
  <si>
    <t>diff-2006</t>
  </si>
  <si>
    <t>CUSUM-2006</t>
  </si>
  <si>
    <t>filter-2006</t>
  </si>
  <si>
    <t>2007</t>
  </si>
  <si>
    <t>diff-2007</t>
  </si>
  <si>
    <t>cusum-2007</t>
  </si>
  <si>
    <t>filter-2007</t>
  </si>
  <si>
    <t>2008</t>
  </si>
  <si>
    <t>diff-2008</t>
  </si>
  <si>
    <t>cusum-2008</t>
  </si>
  <si>
    <t>filter-2008</t>
  </si>
  <si>
    <t>2009</t>
  </si>
  <si>
    <t>diff-2009</t>
  </si>
  <si>
    <t>cusum-2009</t>
  </si>
  <si>
    <t>filter-2009</t>
  </si>
  <si>
    <t>2010</t>
  </si>
  <si>
    <t>diff-2010</t>
  </si>
  <si>
    <t>cusum-2010</t>
  </si>
  <si>
    <t>filter-2010</t>
  </si>
  <si>
    <t>2011</t>
  </si>
  <si>
    <t>diff-2011</t>
  </si>
  <si>
    <t>cusum-2011</t>
  </si>
  <si>
    <t>filter-2011</t>
  </si>
  <si>
    <t>2012</t>
  </si>
  <si>
    <t>diff-2012</t>
  </si>
  <si>
    <t>cusum-2012</t>
  </si>
  <si>
    <t>filter-2012</t>
  </si>
  <si>
    <t>2013</t>
  </si>
  <si>
    <t>diff-2013</t>
  </si>
  <si>
    <t>cusum-2013</t>
  </si>
  <si>
    <t>filter-2013</t>
  </si>
  <si>
    <t>2014</t>
  </si>
  <si>
    <t>2015</t>
  </si>
  <si>
    <t>mean July</t>
  </si>
  <si>
    <t>stdev</t>
  </si>
  <si>
    <t>reference value (k)</t>
  </si>
  <si>
    <t>Year</t>
  </si>
  <si>
    <t>Transition Point (temp)</t>
  </si>
  <si>
    <t>diff-2014</t>
  </si>
  <si>
    <t>cusum-2014</t>
  </si>
  <si>
    <t>filter-2014</t>
  </si>
  <si>
    <t>filter-2015</t>
  </si>
  <si>
    <t>diff-2015</t>
  </si>
  <si>
    <t>cusum-2015</t>
  </si>
  <si>
    <t>Date (when it gradually started cooling off)</t>
  </si>
  <si>
    <t>Baseline Mean</t>
  </si>
  <si>
    <t>Average  Jul-Aug</t>
  </si>
  <si>
    <t>StDev</t>
  </si>
  <si>
    <t>K</t>
  </si>
  <si>
    <t>H</t>
  </si>
  <si>
    <t>decision threshold (H)</t>
  </si>
  <si>
    <t>Average Jul_Aug</t>
  </si>
  <si>
    <t>Deviation</t>
  </si>
  <si>
    <t>CUSUM +</t>
  </si>
  <si>
    <t>Filter</t>
  </si>
  <si>
    <t>8/30/20002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</si>
</sst>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8"/>
      <name val="Aptos Narrow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2" fontId="3" fillId="0" borderId="0" xfId="0" applyNumberFormat="1" applyFont="1"/>
    <xf numFmtId="16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center"/>
    </xf>
    <xf numFmtId="2" fontId="3" fillId="2" borderId="0" xfId="0" applyNumberFormat="1" applyFont="1" applyFill="1"/>
    <xf numFmtId="2" fontId="3" fillId="0" borderId="0" xfId="0" applyNumberFormat="1" applyFont="1" applyFill="1"/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0" xfId="0" applyNumberFormat="1" applyFont="1"/>
    <xf numFmtId="2" fontId="4" fillId="0" borderId="0" xfId="0" applyNumberFormat="1" applyFont="1"/>
    <xf numFmtId="0" fontId="1" fillId="0" borderId="1" xfId="0" applyFont="1" applyBorder="1"/>
    <xf numFmtId="164" fontId="3" fillId="0" borderId="1" xfId="0" applyNumberFormat="1" applyFont="1" applyBorder="1"/>
    <xf numFmtId="2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2" fontId="4" fillId="0" borderId="0" xfId="0" applyNumberFormat="1" applyFont="1" applyAlignment="1">
      <alignment wrapText="1"/>
    </xf>
    <xf numFmtId="0" fontId="3" fillId="0" borderId="1" xfId="0" applyFont="1" applyBorder="1" applyAlignment="1">
      <alignment horizontal="right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1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1" formatCode="d\-mmm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1" formatCode="d\-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1" formatCode="d\-mmm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'(1)CUSUM Minus'!$D$131</c:f>
              <c:strCache>
                <c:ptCount val="1"/>
                <c:pt idx="0">
                  <c:v>Transition Point (temp)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'(1)CUSUM Minus'!$C$132:$C$151</c:f>
              <c:strCache>
                <c:ptCount val="20"/>
                <c:pt idx="0">
                  <c:v>7/28/1996</c:v>
                </c:pt>
                <c:pt idx="1">
                  <c:v>9/24/1997</c:v>
                </c:pt>
                <c:pt idx="2">
                  <c:v>8/2/1998</c:v>
                </c:pt>
                <c:pt idx="3">
                  <c:v>9/20/1999</c:v>
                </c:pt>
                <c:pt idx="4">
                  <c:v>9/3/2000</c:v>
                </c:pt>
                <c:pt idx="5">
                  <c:v>9/1/2001</c:v>
                </c:pt>
                <c:pt idx="6">
                  <c:v>8/30/20002</c:v>
                </c:pt>
                <c:pt idx="7">
                  <c:v>8/10/2003</c:v>
                </c:pt>
                <c:pt idx="8">
                  <c:v>8/8/2004</c:v>
                </c:pt>
                <c:pt idx="9">
                  <c:v>10/6/2005</c:v>
                </c:pt>
                <c:pt idx="10">
                  <c:v>8/31/2006</c:v>
                </c:pt>
                <c:pt idx="11">
                  <c:v>9/17/2007</c:v>
                </c:pt>
                <c:pt idx="12">
                  <c:v>8/12/2008</c:v>
                </c:pt>
                <c:pt idx="13">
                  <c:v>8/31/2009</c:v>
                </c:pt>
                <c:pt idx="14">
                  <c:v>9/27/2010</c:v>
                </c:pt>
                <c:pt idx="15">
                  <c:v>9/5/2011</c:v>
                </c:pt>
                <c:pt idx="16">
                  <c:v>8/9/2012</c:v>
                </c:pt>
                <c:pt idx="17">
                  <c:v>9/24/2013</c:v>
                </c:pt>
                <c:pt idx="18">
                  <c:v>9/23/2014</c:v>
                </c:pt>
                <c:pt idx="19">
                  <c:v>8/29/2015</c:v>
                </c:pt>
              </c:strCache>
            </c:strRef>
          </c:cat>
          <c:val>
            <c:numRef>
              <c:f>'(1)CUSUM Minus'!$D$132:$D$151</c:f>
              <c:numCache>
                <c:formatCode>General</c:formatCode>
                <c:ptCount val="20"/>
                <c:pt idx="0">
                  <c:v>79</c:v>
                </c:pt>
                <c:pt idx="1">
                  <c:v>82</c:v>
                </c:pt>
                <c:pt idx="2">
                  <c:v>82</c:v>
                </c:pt>
                <c:pt idx="3">
                  <c:v>68</c:v>
                </c:pt>
                <c:pt idx="4">
                  <c:v>82</c:v>
                </c:pt>
                <c:pt idx="5">
                  <c:v>80</c:v>
                </c:pt>
                <c:pt idx="6">
                  <c:v>78</c:v>
                </c:pt>
                <c:pt idx="7">
                  <c:v>75</c:v>
                </c:pt>
                <c:pt idx="8">
                  <c:v>75</c:v>
                </c:pt>
                <c:pt idx="9">
                  <c:v>72</c:v>
                </c:pt>
                <c:pt idx="10">
                  <c:v>80</c:v>
                </c:pt>
                <c:pt idx="11">
                  <c:v>78</c:v>
                </c:pt>
                <c:pt idx="12">
                  <c:v>81</c:v>
                </c:pt>
                <c:pt idx="13">
                  <c:v>79</c:v>
                </c:pt>
                <c:pt idx="14">
                  <c:v>81</c:v>
                </c:pt>
                <c:pt idx="15">
                  <c:v>78</c:v>
                </c:pt>
                <c:pt idx="16">
                  <c:v>88</c:v>
                </c:pt>
                <c:pt idx="17">
                  <c:v>71</c:v>
                </c:pt>
                <c:pt idx="18">
                  <c:v>77</c:v>
                </c:pt>
                <c:pt idx="19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AE-4031-A4A9-2252656F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3012431"/>
        <c:axId val="1620300399"/>
      </c:lineChart>
      <c:catAx>
        <c:axId val="1653012431"/>
        <c:scaling>
          <c:orientation val="minMax"/>
          <c:max val="2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  <a:r>
                  <a:rPr lang="en-US" baseline="0"/>
                  <a:t> of Temperature Decrease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d\-mmm\-yyyy;@" sourceLinked="0"/>
        <c:majorTickMark val="cross"/>
        <c:minorTickMark val="in"/>
        <c:tickLblPos val="low"/>
        <c:spPr>
          <a:noFill/>
          <a:ln w="9525" cap="rnd" cmpd="sng" algn="ctr">
            <a:solidFill>
              <a:schemeClr val="accent1">
                <a:lumMod val="75000"/>
              </a:schemeClr>
            </a:solidFill>
            <a:prstDash val="dash"/>
            <a:round/>
            <a:headEnd w="lg" len="lg"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300399"/>
        <c:crosses val="autoZero"/>
        <c:auto val="0"/>
        <c:lblAlgn val="ctr"/>
        <c:lblOffset val="100"/>
        <c:tickLblSkip val="1"/>
        <c:tickMarkSkip val="2"/>
        <c:noMultiLvlLbl val="0"/>
      </c:catAx>
      <c:valAx>
        <c:axId val="1620300399"/>
        <c:scaling>
          <c:orientation val="minMax"/>
          <c:min val="6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5301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</xdr:colOff>
      <xdr:row>129</xdr:row>
      <xdr:rowOff>150017</xdr:rowOff>
    </xdr:from>
    <xdr:to>
      <xdr:col>12</xdr:col>
      <xdr:colOff>409575</xdr:colOff>
      <xdr:row>148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11E389-1246-405D-85EE-11AABF5A7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CC125" totalsRowCount="1" headerRowDxfId="187" dataDxfId="186" totalsRowDxfId="185">
  <autoFilter ref="A1:CC124" xr:uid="{00000000-0009-0000-0100-000002000000}"/>
  <tableColumns count="81">
    <tableColumn id="1" xr3:uid="{00000000-0010-0000-0000-000001000000}" name="DAY" totalsRowLabel="mean July" dataDxfId="161" totalsRowDxfId="80"/>
    <tableColumn id="2" xr3:uid="{00000000-0010-0000-0000-000002000000}" name="1996" totalsRowFunction="custom" dataDxfId="160" totalsRowDxfId="79">
      <totalsRowFormula>AVERAGE(B2:B32)</totalsRowFormula>
    </tableColumn>
    <tableColumn id="22" xr3:uid="{00000000-0010-0000-0000-000016000000}" name="diff_1996" dataDxfId="159" totalsRowDxfId="78">
      <calculatedColumnFormula>B2-$B$125</calculatedColumnFormula>
    </tableColumn>
    <tableColumn id="24" xr3:uid="{00000000-0010-0000-0000-000018000000}" name="CUSUM_1996" dataDxfId="158" totalsRowDxfId="77">
      <calculatedColumnFormula>MIN(0,C2+B2)</calculatedColumnFormula>
    </tableColumn>
    <tableColumn id="23" xr3:uid="{00000000-0010-0000-0000-000017000000}" name="Filtered_1996" dataDxfId="157" totalsRowDxfId="76">
      <calculatedColumnFormula>D2&lt;=-$B$128</calculatedColumnFormula>
    </tableColumn>
    <tableColumn id="3" xr3:uid="{00000000-0010-0000-0000-000003000000}" name="1997" totalsRowFunction="custom" dataDxfId="156" totalsRowDxfId="75">
      <totalsRowFormula>AVERAGE(F2:F32)</totalsRowFormula>
    </tableColumn>
    <tableColumn id="27" xr3:uid="{00000000-0010-0000-0000-00001B000000}" name="diff_1997" dataDxfId="155" totalsRowDxfId="74">
      <calculatedColumnFormula>F2-$F$125</calculatedColumnFormula>
    </tableColumn>
    <tableColumn id="28" xr3:uid="{00000000-0010-0000-0000-00001C000000}" name="CUSUM_1997" dataDxfId="154" totalsRowDxfId="73">
      <calculatedColumnFormula>MIN(0,H1+G2)</calculatedColumnFormula>
    </tableColumn>
    <tableColumn id="26" xr3:uid="{00000000-0010-0000-0000-00001A000000}" name="Filtered_1997" dataDxfId="153" totalsRowDxfId="72">
      <calculatedColumnFormula>H2&lt;=-$F$128</calculatedColumnFormula>
    </tableColumn>
    <tableColumn id="4" xr3:uid="{00000000-0010-0000-0000-000004000000}" name="1998" totalsRowFunction="custom" dataDxfId="152" totalsRowDxfId="71">
      <totalsRowFormula>AVERAGE(J2:J32)</totalsRowFormula>
    </tableColumn>
    <tableColumn id="25" xr3:uid="{00000000-0010-0000-0000-000019000000}" name="diff_1998" dataDxfId="151" totalsRowDxfId="70">
      <calculatedColumnFormula>J2-$J$125</calculatedColumnFormula>
    </tableColumn>
    <tableColumn id="29" xr3:uid="{00000000-0010-0000-0000-00001D000000}" name="CUSUM_1998" dataDxfId="150" totalsRowDxfId="69">
      <calculatedColumnFormula>MIN(0,L1+K2)</calculatedColumnFormula>
    </tableColumn>
    <tableColumn id="30" xr3:uid="{00000000-0010-0000-0000-00001E000000}" name="FILTER_1998" dataDxfId="149" totalsRowDxfId="68">
      <calculatedColumnFormula>L2&lt;=-$J$128</calculatedColumnFormula>
    </tableColumn>
    <tableColumn id="5" xr3:uid="{00000000-0010-0000-0000-000005000000}" name="1999" totalsRowFunction="custom" dataDxfId="148" totalsRowDxfId="67">
      <totalsRowFormula>AVERAGE(N2:N32)</totalsRowFormula>
    </tableColumn>
    <tableColumn id="31" xr3:uid="{00000000-0010-0000-0000-00001F000000}" name="diff-1999" dataDxfId="147" totalsRowDxfId="66">
      <calculatedColumnFormula>N2-$N$125</calculatedColumnFormula>
    </tableColumn>
    <tableColumn id="32" xr3:uid="{00000000-0010-0000-0000-000020000000}" name="CUSUM-1999" dataDxfId="146" totalsRowDxfId="65">
      <calculatedColumnFormula>MIN(0,P1+O2)</calculatedColumnFormula>
    </tableColumn>
    <tableColumn id="33" xr3:uid="{00000000-0010-0000-0000-000021000000}" name="filter-1999" dataDxfId="145" totalsRowDxfId="64">
      <calculatedColumnFormula>P2&lt;=-$N$128</calculatedColumnFormula>
    </tableColumn>
    <tableColumn id="6" xr3:uid="{00000000-0010-0000-0000-000006000000}" name="2000" totalsRowFunction="custom" dataDxfId="144" totalsRowDxfId="63">
      <totalsRowFormula>AVERAGE(R2:R32)</totalsRowFormula>
    </tableColumn>
    <tableColumn id="34" xr3:uid="{00000000-0010-0000-0000-000022000000}" name="diff-2000" dataDxfId="143" totalsRowDxfId="62">
      <calculatedColumnFormula>R2-$R$125</calculatedColumnFormula>
    </tableColumn>
    <tableColumn id="35" xr3:uid="{00000000-0010-0000-0000-000023000000}" name="CUSUM-2000" dataDxfId="142" totalsRowDxfId="61">
      <calculatedColumnFormula>MIN(0,T1+S2)</calculatedColumnFormula>
    </tableColumn>
    <tableColumn id="36" xr3:uid="{00000000-0010-0000-0000-000024000000}" name="Filter-2000" dataDxfId="141" totalsRowDxfId="60">
      <calculatedColumnFormula>T2&lt;=-$R$128</calculatedColumnFormula>
    </tableColumn>
    <tableColumn id="7" xr3:uid="{00000000-0010-0000-0000-000007000000}" name="2001" totalsRowFunction="custom" dataDxfId="140" totalsRowDxfId="59">
      <totalsRowFormula>AVERAGE(V2:V32)</totalsRowFormula>
    </tableColumn>
    <tableColumn id="37" xr3:uid="{00000000-0010-0000-0000-000025000000}" name="diff-2001" dataDxfId="139" totalsRowDxfId="58">
      <calculatedColumnFormula>V2-$V$125</calculatedColumnFormula>
    </tableColumn>
    <tableColumn id="38" xr3:uid="{00000000-0010-0000-0000-000026000000}" name="CUSUM-2001" dataDxfId="138" totalsRowDxfId="57">
      <calculatedColumnFormula>MIN(0,X1+W2)</calculatedColumnFormula>
    </tableColumn>
    <tableColumn id="39" xr3:uid="{00000000-0010-0000-0000-000027000000}" name="Filter-2001" dataDxfId="137" totalsRowDxfId="56">
      <calculatedColumnFormula>X2&lt;=-$V$128</calculatedColumnFormula>
    </tableColumn>
    <tableColumn id="8" xr3:uid="{00000000-0010-0000-0000-000008000000}" name="2002" totalsRowFunction="custom" dataDxfId="136" totalsRowDxfId="55">
      <totalsRowFormula>AVERAGE(Z2:Z32)</totalsRowFormula>
    </tableColumn>
    <tableColumn id="40" xr3:uid="{00000000-0010-0000-0000-000028000000}" name="diff-2002" dataDxfId="135" totalsRowDxfId="54">
      <calculatedColumnFormula>Z2-$Z$125</calculatedColumnFormula>
    </tableColumn>
    <tableColumn id="41" xr3:uid="{00000000-0010-0000-0000-000029000000}" name="cusum-2002" dataDxfId="134" totalsRowDxfId="53">
      <calculatedColumnFormula>MIN(0,AB1+AA2)</calculatedColumnFormula>
    </tableColumn>
    <tableColumn id="42" xr3:uid="{00000000-0010-0000-0000-00002A000000}" name="filter-2002" dataDxfId="133" totalsRowDxfId="52">
      <calculatedColumnFormula>AB2&lt;=-$Z$128</calculatedColumnFormula>
    </tableColumn>
    <tableColumn id="9" xr3:uid="{00000000-0010-0000-0000-000009000000}" name="2003" totalsRowFunction="custom" dataDxfId="132" totalsRowDxfId="51">
      <totalsRowFormula>AVERAGE(AD2:AD32)</totalsRowFormula>
    </tableColumn>
    <tableColumn id="43" xr3:uid="{00000000-0010-0000-0000-00002B000000}" name="diff-2003" dataDxfId="131" totalsRowDxfId="50">
      <calculatedColumnFormula>AD2-$AD$125</calculatedColumnFormula>
    </tableColumn>
    <tableColumn id="44" xr3:uid="{00000000-0010-0000-0000-00002C000000}" name="cusum-2003" dataDxfId="130" totalsRowDxfId="49">
      <calculatedColumnFormula>MIN(0,AF1+AE2)</calculatedColumnFormula>
    </tableColumn>
    <tableColumn id="45" xr3:uid="{00000000-0010-0000-0000-00002D000000}" name="filter-2003" dataDxfId="129" totalsRowDxfId="48">
      <calculatedColumnFormula>AF2&lt;=-$AD$128</calculatedColumnFormula>
    </tableColumn>
    <tableColumn id="10" xr3:uid="{00000000-0010-0000-0000-00000A000000}" name="2004" totalsRowFunction="custom" dataDxfId="128" totalsRowDxfId="47">
      <totalsRowFormula>AVERAGE(AH2:AH32)</totalsRowFormula>
    </tableColumn>
    <tableColumn id="46" xr3:uid="{00000000-0010-0000-0000-00002E000000}" name="diff-2004" dataDxfId="127" totalsRowDxfId="46">
      <calculatedColumnFormula>AH2-$AH$125</calculatedColumnFormula>
    </tableColumn>
    <tableColumn id="47" xr3:uid="{00000000-0010-0000-0000-00002F000000}" name="cusum-2004" dataDxfId="126" totalsRowDxfId="45">
      <calculatedColumnFormula>MIN(0,AJ1+AI2)</calculatedColumnFormula>
    </tableColumn>
    <tableColumn id="48" xr3:uid="{00000000-0010-0000-0000-000030000000}" name="filter-2004" dataDxfId="125" totalsRowDxfId="44">
      <calculatedColumnFormula>AJ2&lt;=-$AH$128</calculatedColumnFormula>
    </tableColumn>
    <tableColumn id="11" xr3:uid="{00000000-0010-0000-0000-00000B000000}" name="2005" totalsRowFunction="custom" dataDxfId="124" totalsRowDxfId="43">
      <totalsRowFormula>AVERAGE(AL2:AL32)</totalsRowFormula>
    </tableColumn>
    <tableColumn id="49" xr3:uid="{00000000-0010-0000-0000-000031000000}" name="diff-2005" dataDxfId="123" totalsRowDxfId="42">
      <calculatedColumnFormula>AL2-$AL$125</calculatedColumnFormula>
    </tableColumn>
    <tableColumn id="50" xr3:uid="{00000000-0010-0000-0000-000032000000}" name="cusum-2005" dataDxfId="122" totalsRowDxfId="41">
      <calculatedColumnFormula>MIN(0,AN1+AM2)</calculatedColumnFormula>
    </tableColumn>
    <tableColumn id="51" xr3:uid="{00000000-0010-0000-0000-000033000000}" name="filter-2005" dataDxfId="121" totalsRowDxfId="40">
      <calculatedColumnFormula>AN2&lt;=-$AL$128</calculatedColumnFormula>
    </tableColumn>
    <tableColumn id="12" xr3:uid="{00000000-0010-0000-0000-00000C000000}" name="2006" totalsRowFunction="custom" dataDxfId="120" totalsRowDxfId="39">
      <totalsRowFormula>AVERAGE(AP2:AP32)</totalsRowFormula>
    </tableColumn>
    <tableColumn id="52" xr3:uid="{00000000-0010-0000-0000-000034000000}" name="diff-2006" dataDxfId="119" totalsRowDxfId="38">
      <calculatedColumnFormula>AP2-$AP$125</calculatedColumnFormula>
    </tableColumn>
    <tableColumn id="53" xr3:uid="{00000000-0010-0000-0000-000035000000}" name="CUSUM-2006" dataDxfId="118" totalsRowDxfId="37">
      <calculatedColumnFormula>MIN(0,AR1+AQ2)</calculatedColumnFormula>
    </tableColumn>
    <tableColumn id="54" xr3:uid="{00000000-0010-0000-0000-000036000000}" name="filter-2006" dataDxfId="117" totalsRowDxfId="36">
      <calculatedColumnFormula>AR2&lt;=-$AP$128</calculatedColumnFormula>
    </tableColumn>
    <tableColumn id="13" xr3:uid="{00000000-0010-0000-0000-00000D000000}" name="2007" totalsRowFunction="custom" dataDxfId="116" totalsRowDxfId="35">
      <totalsRowFormula>AVERAGE(AT2:AT32)</totalsRowFormula>
    </tableColumn>
    <tableColumn id="55" xr3:uid="{00000000-0010-0000-0000-000037000000}" name="diff-2007" dataDxfId="115" totalsRowDxfId="34">
      <calculatedColumnFormula>AT2-$AT$125</calculatedColumnFormula>
    </tableColumn>
    <tableColumn id="56" xr3:uid="{00000000-0010-0000-0000-000038000000}" name="cusum-2007" dataDxfId="114" totalsRowDxfId="33">
      <calculatedColumnFormula>MIN(0,AV1+AU2)</calculatedColumnFormula>
    </tableColumn>
    <tableColumn id="57" xr3:uid="{00000000-0010-0000-0000-000039000000}" name="filter-2007" dataDxfId="113" totalsRowDxfId="32">
      <calculatedColumnFormula>AV2&lt;=-$AT$128</calculatedColumnFormula>
    </tableColumn>
    <tableColumn id="14" xr3:uid="{00000000-0010-0000-0000-00000E000000}" name="2008" totalsRowFunction="custom" dataDxfId="112" totalsRowDxfId="31">
      <totalsRowFormula>AVERAGE(AX2:AX32)</totalsRowFormula>
    </tableColumn>
    <tableColumn id="58" xr3:uid="{00000000-0010-0000-0000-00003A000000}" name="diff-2008" dataDxfId="111" totalsRowDxfId="30">
      <calculatedColumnFormula>AX2-$AX$125</calculatedColumnFormula>
    </tableColumn>
    <tableColumn id="59" xr3:uid="{00000000-0010-0000-0000-00003B000000}" name="cusum-2008" dataDxfId="110" totalsRowDxfId="29">
      <calculatedColumnFormula>MIN(0,AZ1+AY2)</calculatedColumnFormula>
    </tableColumn>
    <tableColumn id="60" xr3:uid="{00000000-0010-0000-0000-00003C000000}" name="filter-2008" dataDxfId="109" totalsRowDxfId="28">
      <calculatedColumnFormula>AZ2&lt;=-$AX$128</calculatedColumnFormula>
    </tableColumn>
    <tableColumn id="15" xr3:uid="{00000000-0010-0000-0000-00000F000000}" name="2009" totalsRowFunction="custom" dataDxfId="108" totalsRowDxfId="27">
      <totalsRowFormula>AVERAGE(BB2:BB32)</totalsRowFormula>
    </tableColumn>
    <tableColumn id="61" xr3:uid="{00000000-0010-0000-0000-00003D000000}" name="diff-2009" dataDxfId="107" totalsRowDxfId="26">
      <calculatedColumnFormula>BB2-$BB$125</calculatedColumnFormula>
    </tableColumn>
    <tableColumn id="62" xr3:uid="{00000000-0010-0000-0000-00003E000000}" name="cusum-2009" dataDxfId="106" totalsRowDxfId="25">
      <calculatedColumnFormula>MIN(0,BD1+BC2)</calculatedColumnFormula>
    </tableColumn>
    <tableColumn id="63" xr3:uid="{00000000-0010-0000-0000-00003F000000}" name="filter-2009" dataDxfId="105" totalsRowDxfId="24">
      <calculatedColumnFormula>BD2&lt;=-$BB$128</calculatedColumnFormula>
    </tableColumn>
    <tableColumn id="16" xr3:uid="{00000000-0010-0000-0000-000010000000}" name="2010" totalsRowFunction="custom" dataDxfId="104" totalsRowDxfId="23">
      <totalsRowFormula>AVERAGE(BF2:BF32)</totalsRowFormula>
    </tableColumn>
    <tableColumn id="64" xr3:uid="{00000000-0010-0000-0000-000040000000}" name="diff-2010" dataDxfId="103" totalsRowDxfId="22">
      <calculatedColumnFormula>BF2-$BF$125</calculatedColumnFormula>
    </tableColumn>
    <tableColumn id="65" xr3:uid="{00000000-0010-0000-0000-000041000000}" name="cusum-2010" dataDxfId="102" totalsRowDxfId="21">
      <calculatedColumnFormula>MIN(0,BH1+BG2)</calculatedColumnFormula>
    </tableColumn>
    <tableColumn id="66" xr3:uid="{00000000-0010-0000-0000-000042000000}" name="filter-2010" dataDxfId="101" totalsRowDxfId="20">
      <calculatedColumnFormula>BH2&lt;=-$BF$128</calculatedColumnFormula>
    </tableColumn>
    <tableColumn id="17" xr3:uid="{00000000-0010-0000-0000-000011000000}" name="2011" totalsRowFunction="custom" dataDxfId="100" totalsRowDxfId="19">
      <totalsRowFormula>AVERAGE(BJ2:BJ32)</totalsRowFormula>
    </tableColumn>
    <tableColumn id="67" xr3:uid="{00000000-0010-0000-0000-000043000000}" name="diff-2011" dataDxfId="99" totalsRowDxfId="18">
      <calculatedColumnFormula>BJ2-$BJ$125</calculatedColumnFormula>
    </tableColumn>
    <tableColumn id="68" xr3:uid="{00000000-0010-0000-0000-000044000000}" name="cusum-2011" dataDxfId="98" totalsRowDxfId="17">
      <calculatedColumnFormula>MIN(0,BL1+BK2)</calculatedColumnFormula>
    </tableColumn>
    <tableColumn id="69" xr3:uid="{00000000-0010-0000-0000-000045000000}" name="filter-2011" dataDxfId="97" totalsRowDxfId="16">
      <calculatedColumnFormula>BL2&lt;=-$BJ$128</calculatedColumnFormula>
    </tableColumn>
    <tableColumn id="18" xr3:uid="{00000000-0010-0000-0000-000012000000}" name="2012" totalsRowFunction="custom" dataDxfId="96" totalsRowDxfId="15">
      <totalsRowFormula>AVERAGE(BN2:BN32)</totalsRowFormula>
    </tableColumn>
    <tableColumn id="70" xr3:uid="{00000000-0010-0000-0000-000046000000}" name="diff-2012" dataDxfId="95" totalsRowDxfId="14">
      <calculatedColumnFormula>BN2-$BN$125</calculatedColumnFormula>
    </tableColumn>
    <tableColumn id="71" xr3:uid="{00000000-0010-0000-0000-000047000000}" name="cusum-2012" dataDxfId="94" totalsRowDxfId="13">
      <calculatedColumnFormula>MIN(0,BP1+BO2)</calculatedColumnFormula>
    </tableColumn>
    <tableColumn id="72" xr3:uid="{00000000-0010-0000-0000-000048000000}" name="filter-2012" dataDxfId="93" totalsRowDxfId="12">
      <calculatedColumnFormula>BP2&lt;=-$BN$128</calculatedColumnFormula>
    </tableColumn>
    <tableColumn id="19" xr3:uid="{00000000-0010-0000-0000-000013000000}" name="2013" totalsRowFunction="custom" dataDxfId="92" totalsRowDxfId="11">
      <totalsRowFormula>AVERAGE(BR2:BR32)</totalsRowFormula>
    </tableColumn>
    <tableColumn id="73" xr3:uid="{00000000-0010-0000-0000-000049000000}" name="diff-2013" dataDxfId="91" totalsRowDxfId="10">
      <calculatedColumnFormula>BR2-$BR$125</calculatedColumnFormula>
    </tableColumn>
    <tableColumn id="74" xr3:uid="{00000000-0010-0000-0000-00004A000000}" name="cusum-2013" dataDxfId="90" totalsRowDxfId="9">
      <calculatedColumnFormula>MIN(0,BT1+BS2)</calculatedColumnFormula>
    </tableColumn>
    <tableColumn id="75" xr3:uid="{00000000-0010-0000-0000-00004B000000}" name="filter-2013" dataDxfId="89" totalsRowDxfId="8">
      <calculatedColumnFormula>BT2&lt;=-$BR$128</calculatedColumnFormula>
    </tableColumn>
    <tableColumn id="20" xr3:uid="{00000000-0010-0000-0000-000014000000}" name="2014" totalsRowFunction="custom" dataDxfId="88" totalsRowDxfId="7">
      <totalsRowFormula>AVERAGE(BV2:BV32)</totalsRowFormula>
    </tableColumn>
    <tableColumn id="76" xr3:uid="{00000000-0010-0000-0000-00004C000000}" name="diff-2014" dataDxfId="87" totalsRowDxfId="6">
      <calculatedColumnFormula>BV2-$BV$125</calculatedColumnFormula>
    </tableColumn>
    <tableColumn id="77" xr3:uid="{00000000-0010-0000-0000-00004D000000}" name="cusum-2014" dataDxfId="86" totalsRowDxfId="5"/>
    <tableColumn id="78" xr3:uid="{00000000-0010-0000-0000-00004E000000}" name="filter-2014" dataDxfId="85" totalsRowDxfId="4">
      <calculatedColumnFormula>BX2&lt;=-$BV$128</calculatedColumnFormula>
    </tableColumn>
    <tableColumn id="21" xr3:uid="{00000000-0010-0000-0000-000015000000}" name="2015" totalsRowFunction="custom" dataDxfId="84" totalsRowDxfId="3">
      <totalsRowFormula>AVERAGE(BZ2:BZ32)</totalsRowFormula>
    </tableColumn>
    <tableColumn id="80" xr3:uid="{B805FE26-7800-4C41-870D-18E3D2A9426B}" name="diff-2015" dataDxfId="83" totalsRowDxfId="2">
      <calculatedColumnFormula>BZ2-$BZ$125</calculatedColumnFormula>
    </tableColumn>
    <tableColumn id="81" xr3:uid="{3750F339-199F-4A9C-8ED5-BFEA8E0674F7}" name="cusum-2015" dataDxfId="82" totalsRowDxfId="1"/>
    <tableColumn id="82" xr3:uid="{BD69F304-3494-4660-90F1-78FC5C91B103}" name="filter-2015" dataDxfId="81" totalsRowDxfId="0">
      <calculatedColumnFormula>CB2&lt;=-$BZ$128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0B0D4B-EF78-41AA-B241-51BDC4B61CF0}" name="Table1" displayName="Table1" ref="A1:U124" totalsRowShown="0" headerRowDxfId="162" dataDxfId="163">
  <autoFilter ref="A1:U124" xr:uid="{9E0B0D4B-EF78-41AA-B241-51BDC4B61CF0}"/>
  <tableColumns count="21">
    <tableColumn id="1" xr3:uid="{0954631D-5FDB-4EEE-A1C7-AB0DC4612A2A}" name="DAY" dataDxfId="184"/>
    <tableColumn id="2" xr3:uid="{0FD117B3-1E20-4EAA-B535-212A37108471}" name="1996" dataDxfId="183"/>
    <tableColumn id="3" xr3:uid="{ECE602DC-CB37-40E2-B088-943CD5D7DD2C}" name="1997" dataDxfId="182"/>
    <tableColumn id="4" xr3:uid="{0456A6CB-F9F9-4D9D-ACF7-773EACAFDAA7}" name="1998" dataDxfId="181"/>
    <tableColumn id="5" xr3:uid="{BA9DB3D2-8889-4087-BBA7-56A5E3028D9E}" name="1999" dataDxfId="180"/>
    <tableColumn id="6" xr3:uid="{6C2A5762-84CF-46E5-9C0B-E8E1A55D3D87}" name="2000" dataDxfId="179"/>
    <tableColumn id="7" xr3:uid="{C6D4407E-6675-42F2-8828-AAB6C1363CEF}" name="2001" dataDxfId="178"/>
    <tableColumn id="8" xr3:uid="{76CFDD0E-D65D-4B4F-95F0-DEFFEE8AB9A4}" name="2002" dataDxfId="177"/>
    <tableColumn id="9" xr3:uid="{1185EE15-776D-4072-87C2-19AE637D2A38}" name="2003" dataDxfId="176"/>
    <tableColumn id="10" xr3:uid="{FE70D8C8-F8C3-4986-A663-F9EF23B791BD}" name="2004" dataDxfId="175"/>
    <tableColumn id="11" xr3:uid="{38C263FF-62D1-4C91-A050-500C86055CF1}" name="2005" dataDxfId="174"/>
    <tableColumn id="12" xr3:uid="{0B6CE33A-A37D-450A-936D-A5AEA927261C}" name="2006" dataDxfId="173"/>
    <tableColumn id="13" xr3:uid="{1464E181-845A-4197-ACAF-AA464DF8D674}" name="2007" dataDxfId="172"/>
    <tableColumn id="14" xr3:uid="{660CD07A-1C7E-4655-A60B-7DFF0A4AD1AA}" name="2008" dataDxfId="171"/>
    <tableColumn id="15" xr3:uid="{4C4ED174-7E1E-46A3-A551-014B984F3F40}" name="2009" dataDxfId="170"/>
    <tableColumn id="16" xr3:uid="{4F3FD240-4C83-4C5A-9D11-BE0644D75A5B}" name="2010" dataDxfId="169"/>
    <tableColumn id="17" xr3:uid="{3E98E372-9815-4DE9-839C-863C613434B4}" name="2011" dataDxfId="168"/>
    <tableColumn id="18" xr3:uid="{9834B5EB-5018-4306-B8DA-E4A20087BA48}" name="2012" dataDxfId="167"/>
    <tableColumn id="19" xr3:uid="{A7676900-2B1A-40E7-96B4-E84DE1318E26}" name="2013" dataDxfId="166"/>
    <tableColumn id="20" xr3:uid="{0D54F188-B9F4-4E61-83FA-3C90DA82074E}" name="2014" dataDxfId="165"/>
    <tableColumn id="21" xr3:uid="{FC04A205-5E85-4203-8843-E095863DCE59}" name="2015" dataDxfId="16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55"/>
  <sheetViews>
    <sheetView tabSelected="1" topLeftCell="A28" zoomScaleNormal="100" workbookViewId="0">
      <pane xSplit="1" topLeftCell="B1" activePane="topRight" state="frozen"/>
      <selection pane="topRight" activeCell="E150" sqref="E150"/>
    </sheetView>
  </sheetViews>
  <sheetFormatPr defaultColWidth="9" defaultRowHeight="14.25" x14ac:dyDescent="0.2"/>
  <cols>
    <col min="1" max="1" width="16.5" style="1" customWidth="1"/>
    <col min="2" max="2" width="9.125" style="1" customWidth="1"/>
    <col min="3" max="3" width="14.25" style="1" customWidth="1"/>
    <col min="4" max="4" width="13.125" style="1" customWidth="1"/>
    <col min="5" max="6" width="9" style="1"/>
    <col min="7" max="7" width="11.25" style="1" customWidth="1"/>
    <col min="8" max="10" width="9" style="1"/>
    <col min="11" max="11" width="13.375" style="1" customWidth="1"/>
    <col min="12" max="12" width="14.625" style="1"/>
    <col min="13" max="15" width="9" style="1"/>
    <col min="16" max="16" width="13.875" style="1"/>
    <col min="17" max="79" width="9" style="1"/>
    <col min="80" max="89" width="13" style="1"/>
    <col min="90" max="16384" width="9" style="1"/>
  </cols>
  <sheetData>
    <row r="1" spans="1:8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80</v>
      </c>
      <c r="BX1" s="1" t="s">
        <v>81</v>
      </c>
      <c r="BY1" s="1" t="s">
        <v>82</v>
      </c>
      <c r="BZ1" s="1" t="s">
        <v>74</v>
      </c>
      <c r="CA1" s="1" t="s">
        <v>84</v>
      </c>
      <c r="CB1" s="1" t="s">
        <v>85</v>
      </c>
      <c r="CC1" s="1" t="s">
        <v>83</v>
      </c>
    </row>
    <row r="2" spans="1:81" x14ac:dyDescent="0.2">
      <c r="A2" s="3">
        <v>45839</v>
      </c>
      <c r="B2" s="1">
        <v>98</v>
      </c>
      <c r="C2" s="2">
        <f t="shared" ref="C2:C33" si="0">B2-$B$125</f>
        <v>6.8064516129032313</v>
      </c>
      <c r="D2" s="1">
        <v>0</v>
      </c>
      <c r="E2" s="2" t="b">
        <f>D2&lt;=-$B$128</f>
        <v>0</v>
      </c>
      <c r="F2" s="1">
        <v>86</v>
      </c>
      <c r="G2" s="4">
        <f t="shared" ref="G2:G33" si="1">F2-$F$125</f>
        <v>-1.2580645161290391</v>
      </c>
      <c r="H2" s="1">
        <v>0</v>
      </c>
      <c r="I2" s="2" t="b">
        <f>H2&lt;=-$F$128</f>
        <v>0</v>
      </c>
      <c r="J2" s="1">
        <v>91</v>
      </c>
      <c r="K2" s="4">
        <f t="shared" ref="K2:K33" si="2">J2-$J$125</f>
        <v>1.2903225806451672</v>
      </c>
      <c r="L2" s="1">
        <v>0</v>
      </c>
      <c r="M2" s="2" t="b">
        <f>L2&lt;=-$J$128</f>
        <v>0</v>
      </c>
      <c r="N2" s="1">
        <v>84</v>
      </c>
      <c r="O2" s="4">
        <f t="shared" ref="O2:O33" si="3">N2-$N$125</f>
        <v>-3.6451612903225765</v>
      </c>
      <c r="P2" s="1">
        <v>0</v>
      </c>
      <c r="Q2" s="2" t="b">
        <f>P2&lt;=-$N$128</f>
        <v>0</v>
      </c>
      <c r="R2" s="1">
        <v>89</v>
      </c>
      <c r="S2" s="4">
        <f t="shared" ref="S2:S33" si="4">R2-$R$125</f>
        <v>-2.7419354838709609</v>
      </c>
      <c r="T2" s="1">
        <v>0</v>
      </c>
      <c r="U2" s="2" t="b">
        <f>T2&lt;=-$R$128</f>
        <v>0</v>
      </c>
      <c r="V2" s="1">
        <v>84</v>
      </c>
      <c r="W2" s="4">
        <f t="shared" ref="W2:W33" si="5">V2-$V$125</f>
        <v>-2.7419354838709609</v>
      </c>
      <c r="X2" s="1">
        <v>0</v>
      </c>
      <c r="Y2" s="2" t="b">
        <f>X2&lt;=-$V$128</f>
        <v>0</v>
      </c>
      <c r="Z2" s="1">
        <v>90</v>
      </c>
      <c r="AA2" s="4">
        <f t="shared" ref="AA2:AA33" si="6">Z2-$Z$125</f>
        <v>0.74193548387096087</v>
      </c>
      <c r="AB2" s="1">
        <v>0</v>
      </c>
      <c r="AC2" s="2" t="b">
        <f>AB2&lt;=-$Z$128</f>
        <v>0</v>
      </c>
      <c r="AD2" s="1">
        <v>73</v>
      </c>
      <c r="AE2" s="4">
        <f t="shared" ref="AE2:AE33" si="7">AD2-$AD$125</f>
        <v>-12.58064516129032</v>
      </c>
      <c r="AF2" s="1">
        <v>0</v>
      </c>
      <c r="AG2" s="2" t="b">
        <f>AF2&lt;=-$AD$128</f>
        <v>0</v>
      </c>
      <c r="AH2" s="1">
        <v>82</v>
      </c>
      <c r="AI2" s="4">
        <f t="shared" ref="AI2:AI33" si="8">AH2-$AH$125</f>
        <v>-5.8387096774193594</v>
      </c>
      <c r="AJ2" s="1">
        <v>0</v>
      </c>
      <c r="AK2" s="2" t="b">
        <f>AJ2&lt;=-$AH$128</f>
        <v>0</v>
      </c>
      <c r="AL2" s="1">
        <v>91</v>
      </c>
      <c r="AM2" s="4">
        <f t="shared" ref="AM2:AM33" si="9">AL2-$AL$125</f>
        <v>4.0645161290322562</v>
      </c>
      <c r="AN2" s="1">
        <v>0</v>
      </c>
      <c r="AO2" s="2" t="b">
        <f>AN2&lt;=-$AL$128</f>
        <v>0</v>
      </c>
      <c r="AP2" s="1">
        <v>93</v>
      </c>
      <c r="AQ2" s="4">
        <f t="shared" ref="AQ2:AQ33" si="10">AP2-$AP$125</f>
        <v>2.8064516129032313</v>
      </c>
      <c r="AR2" s="1">
        <v>0</v>
      </c>
      <c r="AS2" s="2" t="b">
        <f>AR2&lt;=-$AP$128</f>
        <v>0</v>
      </c>
      <c r="AT2" s="1">
        <v>95</v>
      </c>
      <c r="AU2" s="4">
        <f t="shared" ref="AU2:AU33" si="11">AT2-$AT$125</f>
        <v>8.5806451612903203</v>
      </c>
      <c r="AV2" s="1">
        <v>0</v>
      </c>
      <c r="AW2" s="2" t="b">
        <f>AV2&lt;=-$AT$128</f>
        <v>0</v>
      </c>
      <c r="AX2" s="1">
        <v>85</v>
      </c>
      <c r="AY2" s="4">
        <f t="shared" ref="AY2:AY33" si="12">AX2-$AX$125</f>
        <v>-4.1612903225806406</v>
      </c>
      <c r="AZ2" s="1">
        <v>0</v>
      </c>
      <c r="BA2" s="2" t="b">
        <f>AZ2&lt;=-$AX$128</f>
        <v>0</v>
      </c>
      <c r="BB2" s="1">
        <v>95</v>
      </c>
      <c r="BC2" s="4">
        <f t="shared" ref="BC2:BC33" si="13">BB2-$BB$125</f>
        <v>8.3548387096774235</v>
      </c>
      <c r="BD2" s="1">
        <v>0</v>
      </c>
      <c r="BE2" s="2" t="b">
        <f>BD2&lt;=-$BB$128</f>
        <v>0</v>
      </c>
      <c r="BF2" s="1">
        <v>87</v>
      </c>
      <c r="BG2" s="4">
        <f t="shared" ref="BG2:BG33" si="14">BF2-$BF$125</f>
        <v>-4.2580645161290391</v>
      </c>
      <c r="BH2" s="1">
        <v>0</v>
      </c>
      <c r="BI2" s="2" t="b">
        <f>BH2&lt;=-$BF$128</f>
        <v>0</v>
      </c>
      <c r="BJ2" s="1">
        <v>92</v>
      </c>
      <c r="BK2" s="4">
        <f t="shared" ref="BK2:BK33" si="15">BJ2-$BJ$125</f>
        <v>6.4516129032256231E-2</v>
      </c>
      <c r="BL2" s="1">
        <v>0</v>
      </c>
      <c r="BM2" s="2" t="b">
        <f>BL2&lt;=-$BJ$128</f>
        <v>0</v>
      </c>
      <c r="BN2" s="1">
        <v>105</v>
      </c>
      <c r="BO2" s="4">
        <f t="shared" ref="BO2:BO33" si="16">BN2-$BN$125</f>
        <v>10.903225806451616</v>
      </c>
      <c r="BP2" s="1">
        <v>0</v>
      </c>
      <c r="BQ2" s="2" t="b">
        <f>BP2&lt;=-$BN$128</f>
        <v>0</v>
      </c>
      <c r="BR2" s="1">
        <v>82</v>
      </c>
      <c r="BS2" s="4">
        <f t="shared" ref="BS2:BS33" si="17">BR2-$BR$125</f>
        <v>-2.7096774193548328</v>
      </c>
      <c r="BT2" s="1">
        <v>0</v>
      </c>
      <c r="BU2" s="2" t="b">
        <f>BT2&lt;=-$BR$128</f>
        <v>0</v>
      </c>
      <c r="BV2" s="1">
        <v>90</v>
      </c>
      <c r="BW2" s="4">
        <f t="shared" ref="BW2:BW33" si="18">BV2-$BV$125</f>
        <v>3.3870967741935516</v>
      </c>
      <c r="BX2" s="1">
        <v>0</v>
      </c>
      <c r="BY2" s="2" t="b">
        <f>BX2&lt;=-$BV$128</f>
        <v>0</v>
      </c>
      <c r="BZ2" s="1">
        <v>85</v>
      </c>
      <c r="CA2" s="4">
        <f t="shared" ref="CA2:CA33" si="19">BZ2-$BZ$125</f>
        <v>-5.0645161290322562</v>
      </c>
      <c r="CB2" s="1">
        <v>0</v>
      </c>
      <c r="CC2" s="2" t="b">
        <f t="shared" ref="CC2:CC33" si="20">CB2&lt;=-$BZ$128</f>
        <v>0</v>
      </c>
    </row>
    <row r="3" spans="1:81" x14ac:dyDescent="0.2">
      <c r="A3" s="3">
        <v>45840</v>
      </c>
      <c r="B3" s="1">
        <v>97</v>
      </c>
      <c r="C3" s="2">
        <f t="shared" si="0"/>
        <v>5.8064516129032313</v>
      </c>
      <c r="D3" s="4">
        <f>MIN(0,D2+C3+$B$127)</f>
        <v>0</v>
      </c>
      <c r="E3" s="2" t="b">
        <f>D3&lt;=-$B$128</f>
        <v>0</v>
      </c>
      <c r="F3" s="1">
        <v>90</v>
      </c>
      <c r="G3" s="4">
        <f t="shared" si="1"/>
        <v>2.7419354838709609</v>
      </c>
      <c r="H3" s="4">
        <f>MIN(0,H2+G3+$F$127)</f>
        <v>0</v>
      </c>
      <c r="I3" s="2" t="b">
        <f>H3&lt;=-$F$128</f>
        <v>0</v>
      </c>
      <c r="J3" s="1">
        <v>88</v>
      </c>
      <c r="K3" s="4">
        <f t="shared" si="2"/>
        <v>-1.7096774193548328</v>
      </c>
      <c r="L3" s="4">
        <f>MIN(0,L2+K3+$J$127)</f>
        <v>-0.18655809601923812</v>
      </c>
      <c r="M3" s="2" t="b">
        <f>L3&lt;=-$J$128</f>
        <v>0</v>
      </c>
      <c r="N3" s="1">
        <v>82</v>
      </c>
      <c r="O3" s="4">
        <f t="shared" si="3"/>
        <v>-5.6451612903225765</v>
      </c>
      <c r="P3" s="4">
        <f>MIN(0,P2+O3+$N$127)</f>
        <v>-2.753943590987876</v>
      </c>
      <c r="Q3" s="2" t="b">
        <f>P3&lt;=-$N$128</f>
        <v>0</v>
      </c>
      <c r="R3" s="1">
        <v>91</v>
      </c>
      <c r="S3" s="4">
        <f t="shared" si="4"/>
        <v>-0.74193548387096087</v>
      </c>
      <c r="T3" s="4">
        <f>MIN(0,T2+S3+$R$127)</f>
        <v>0</v>
      </c>
      <c r="U3" s="2" t="b">
        <f>T3&lt;=-$R$128</f>
        <v>0</v>
      </c>
      <c r="V3" s="1">
        <v>87</v>
      </c>
      <c r="W3" s="4">
        <f t="shared" si="5"/>
        <v>0.25806451612903913</v>
      </c>
      <c r="X3" s="4">
        <f>MIN(0,X2+W3+$V$127)</f>
        <v>0</v>
      </c>
      <c r="Y3" s="2" t="b">
        <f>X3&lt;=-$V$128</f>
        <v>0</v>
      </c>
      <c r="Z3" s="1">
        <v>90</v>
      </c>
      <c r="AA3" s="4">
        <f t="shared" si="6"/>
        <v>0.74193548387096087</v>
      </c>
      <c r="AB3" s="4">
        <f>MIN(0,AB2+AA3+$Z$127)</f>
        <v>0</v>
      </c>
      <c r="AC3" s="2" t="b">
        <f>AB3&lt;=-$Z$128</f>
        <v>0</v>
      </c>
      <c r="AD3" s="1">
        <v>81</v>
      </c>
      <c r="AE3" s="4">
        <f t="shared" si="7"/>
        <v>-4.5806451612903203</v>
      </c>
      <c r="AF3" s="4">
        <f>MIN(0,AF2+AE3+$AD$127)</f>
        <v>-2.8352980441987699</v>
      </c>
      <c r="AG3" s="2" t="b">
        <f>AF3&lt;=-$AD$128</f>
        <v>0</v>
      </c>
      <c r="AH3" s="1">
        <v>81</v>
      </c>
      <c r="AI3" s="4">
        <f t="shared" si="8"/>
        <v>-6.8387096774193594</v>
      </c>
      <c r="AJ3" s="4">
        <f>MIN(0,AJ2+AI3+$AH$127)</f>
        <v>-5.2889958640893608</v>
      </c>
      <c r="AK3" s="2" t="b">
        <f>AJ3&lt;=-$AH$128</f>
        <v>0</v>
      </c>
      <c r="AL3" s="1">
        <v>89</v>
      </c>
      <c r="AM3" s="4">
        <f t="shared" si="9"/>
        <v>2.0645161290322562</v>
      </c>
      <c r="AN3" s="4">
        <f>MIN(0,AN2+AM3+$AL$127)</f>
        <v>0</v>
      </c>
      <c r="AO3" s="2" t="b">
        <f>AN3&lt;=-$AL$128</f>
        <v>0</v>
      </c>
      <c r="AP3" s="1">
        <v>93</v>
      </c>
      <c r="AQ3" s="4">
        <f t="shared" si="10"/>
        <v>2.8064516129032313</v>
      </c>
      <c r="AR3" s="4">
        <f>MIN(0,AR2+AQ3+$AP$127)</f>
        <v>0</v>
      </c>
      <c r="AS3" s="2" t="b">
        <f>AR3&lt;=-$AP$128</f>
        <v>0</v>
      </c>
      <c r="AT3" s="1">
        <v>85</v>
      </c>
      <c r="AU3" s="4">
        <f t="shared" si="11"/>
        <v>-1.4193548387096797</v>
      </c>
      <c r="AV3" s="4">
        <f>MIN(0,AV2+AU3+$AT$127)</f>
        <v>0</v>
      </c>
      <c r="AW3" s="2" t="b">
        <f>AV3&lt;=-$AT$128</f>
        <v>0</v>
      </c>
      <c r="AX3" s="1">
        <v>87</v>
      </c>
      <c r="AY3" s="4">
        <f t="shared" si="12"/>
        <v>-2.1612903225806406</v>
      </c>
      <c r="AZ3" s="4">
        <f>MIN(0,AZ2+AY3+$AX$127)</f>
        <v>-0.78835688043599728</v>
      </c>
      <c r="BA3" s="2" t="b">
        <f>AZ3&lt;=-$AX$128</f>
        <v>0</v>
      </c>
      <c r="BB3" s="1">
        <v>90</v>
      </c>
      <c r="BC3" s="4">
        <f t="shared" si="13"/>
        <v>3.3548387096774235</v>
      </c>
      <c r="BD3" s="4">
        <f>MIN(0,BD2+BC3+$BB$127)</f>
        <v>0</v>
      </c>
      <c r="BE3" s="2" t="b">
        <f>BD3&lt;=-$BB$128</f>
        <v>0</v>
      </c>
      <c r="BF3" s="1">
        <v>84</v>
      </c>
      <c r="BG3" s="4">
        <f t="shared" si="14"/>
        <v>-7.2580645161290391</v>
      </c>
      <c r="BH3" s="4">
        <f>MIN(0,BH2+BG3+$BF$127)</f>
        <v>-5.2292399716555495</v>
      </c>
      <c r="BI3" s="2" t="b">
        <f>BH3&lt;=-$BF$128</f>
        <v>0</v>
      </c>
      <c r="BJ3" s="1">
        <v>94</v>
      </c>
      <c r="BK3" s="4">
        <f t="shared" si="15"/>
        <v>2.0645161290322562</v>
      </c>
      <c r="BL3" s="4">
        <f>MIN(0,BL2+BK3+$BJ$127)</f>
        <v>0</v>
      </c>
      <c r="BM3" s="2" t="b">
        <f>BL3&lt;=-$BJ$128</f>
        <v>0</v>
      </c>
      <c r="BN3" s="1">
        <v>93</v>
      </c>
      <c r="BO3" s="4">
        <f t="shared" si="16"/>
        <v>-1.0967741935483843</v>
      </c>
      <c r="BP3" s="4">
        <f>MIN(0,BP2+BO3+$BN$127)</f>
        <v>0</v>
      </c>
      <c r="BQ3" s="2" t="b">
        <f>BP3&lt;=-$BN$128</f>
        <v>0</v>
      </c>
      <c r="BR3" s="1">
        <v>85</v>
      </c>
      <c r="BS3" s="4">
        <f t="shared" si="17"/>
        <v>0.29032258064516725</v>
      </c>
      <c r="BT3" s="4">
        <f>MIN(0,BT2+BS3+$BR$127)</f>
        <v>0</v>
      </c>
      <c r="BU3" s="2" t="b">
        <f>BT3&lt;=-$BR$128</f>
        <v>0</v>
      </c>
      <c r="BV3" s="1">
        <v>93</v>
      </c>
      <c r="BW3" s="2">
        <f t="shared" si="18"/>
        <v>6.3870967741935516</v>
      </c>
      <c r="BX3" s="4">
        <f>MIN(0,BX2+BW3+$BV$127)</f>
        <v>0</v>
      </c>
      <c r="BY3" s="2" t="b">
        <f>BX3&lt;=-$BV$128</f>
        <v>0</v>
      </c>
      <c r="BZ3" s="1">
        <v>87</v>
      </c>
      <c r="CA3" s="2">
        <f t="shared" si="19"/>
        <v>-3.0645161290322562</v>
      </c>
      <c r="CB3" s="4">
        <f>MIN(0,CB2+CA3+$BZ$127)</f>
        <v>-1.2853052371339779</v>
      </c>
      <c r="CC3" s="2" t="b">
        <f t="shared" si="20"/>
        <v>0</v>
      </c>
    </row>
    <row r="4" spans="1:81" x14ac:dyDescent="0.2">
      <c r="A4" s="3">
        <v>45841</v>
      </c>
      <c r="B4" s="1">
        <v>97</v>
      </c>
      <c r="C4" s="2">
        <f t="shared" si="0"/>
        <v>5.8064516129032313</v>
      </c>
      <c r="D4" s="4">
        <f t="shared" ref="D4:D67" si="21">MIN(0,D3+C4+$B$127)</f>
        <v>0</v>
      </c>
      <c r="E4" s="2" t="b">
        <f>D4&lt;=-$B$128</f>
        <v>0</v>
      </c>
      <c r="F4" s="1">
        <v>93</v>
      </c>
      <c r="G4" s="4">
        <f t="shared" si="1"/>
        <v>5.7419354838709609</v>
      </c>
      <c r="H4" s="4">
        <f t="shared" ref="H4:H67" si="22">MIN(0,H3+G4+$F$127)</f>
        <v>0</v>
      </c>
      <c r="I4" s="2" t="b">
        <f>H4&lt;=-$F$128</f>
        <v>0</v>
      </c>
      <c r="J4" s="1">
        <v>91</v>
      </c>
      <c r="K4" s="4">
        <f t="shared" si="2"/>
        <v>1.2903225806451672</v>
      </c>
      <c r="L4" s="4">
        <f t="shared" ref="L4:L67" si="23">MIN(0,L3+K4+$J$127)</f>
        <v>0</v>
      </c>
      <c r="M4" s="2" t="b">
        <f>L4&lt;=-$J$128</f>
        <v>0</v>
      </c>
      <c r="N4" s="1">
        <v>87</v>
      </c>
      <c r="O4" s="4">
        <f t="shared" si="3"/>
        <v>-0.64516129032257652</v>
      </c>
      <c r="P4" s="4">
        <f t="shared" ref="P4:P67" si="24">MIN(0,P3+O4+$N$127)</f>
        <v>-0.507887181975752</v>
      </c>
      <c r="Q4" s="2" t="b">
        <f>P4&lt;=-$N$128</f>
        <v>0</v>
      </c>
      <c r="R4" s="1">
        <v>93</v>
      </c>
      <c r="S4" s="4">
        <f t="shared" si="4"/>
        <v>1.2580645161290391</v>
      </c>
      <c r="T4" s="4">
        <f t="shared" ref="T4:T67" si="25">MIN(0,T3+S4+$R$127)</f>
        <v>0</v>
      </c>
      <c r="U4" s="2" t="b">
        <f>T4&lt;=-$R$128</f>
        <v>0</v>
      </c>
      <c r="V4" s="1">
        <v>87</v>
      </c>
      <c r="W4" s="4">
        <f t="shared" si="5"/>
        <v>0.25806451612903913</v>
      </c>
      <c r="X4" s="4">
        <f t="shared" ref="X4:X67" si="26">MIN(0,X3+W4+$V$127)</f>
        <v>0</v>
      </c>
      <c r="Y4" s="2" t="b">
        <f>X4&lt;=-$V$128</f>
        <v>0</v>
      </c>
      <c r="Z4" s="1">
        <v>87</v>
      </c>
      <c r="AA4" s="4">
        <f t="shared" si="6"/>
        <v>-2.2580645161290391</v>
      </c>
      <c r="AB4" s="4">
        <f t="shared" ref="AB4:AB67" si="27">MIN(0,AB3+AA4+$Z$127)</f>
        <v>-0.38737951710023544</v>
      </c>
      <c r="AC4" s="2" t="b">
        <f>AB4&lt;=-$Z$128</f>
        <v>0</v>
      </c>
      <c r="AD4" s="1">
        <v>87</v>
      </c>
      <c r="AE4" s="4">
        <f t="shared" si="7"/>
        <v>1.4193548387096797</v>
      </c>
      <c r="AF4" s="4">
        <f t="shared" ref="AF4:AF67" si="28">MIN(0,AF3+AE4+$AD$127)</f>
        <v>0</v>
      </c>
      <c r="AG4" s="2" t="b">
        <f>AF4&lt;=-$AD$128</f>
        <v>0</v>
      </c>
      <c r="AH4" s="1">
        <v>86</v>
      </c>
      <c r="AI4" s="4">
        <f t="shared" si="8"/>
        <v>-1.8387096774193594</v>
      </c>
      <c r="AJ4" s="4">
        <f t="shared" ref="AJ4:AJ67" si="29">MIN(0,AJ3+AI4+$AH$127)</f>
        <v>-5.5779917281787217</v>
      </c>
      <c r="AK4" s="2" t="b">
        <f>AJ4&lt;=-$AH$128</f>
        <v>0</v>
      </c>
      <c r="AL4" s="1">
        <v>86</v>
      </c>
      <c r="AM4" s="4">
        <f t="shared" si="9"/>
        <v>-0.93548387096774377</v>
      </c>
      <c r="AN4" s="4">
        <f t="shared" ref="AN4:AN67" si="30">MIN(0,AN3+AM4+$AL$127)</f>
        <v>0</v>
      </c>
      <c r="AO4" s="2" t="b">
        <f>AN4&lt;=-$AL$128</f>
        <v>0</v>
      </c>
      <c r="AP4" s="1">
        <v>93</v>
      </c>
      <c r="AQ4" s="4">
        <f t="shared" si="10"/>
        <v>2.8064516129032313</v>
      </c>
      <c r="AR4" s="4">
        <f t="shared" ref="AR4:AR67" si="31">MIN(0,AR3+AQ4+$AP$127)</f>
        <v>0</v>
      </c>
      <c r="AS4" s="2" t="b">
        <f>AR4&lt;=-$AP$128</f>
        <v>0</v>
      </c>
      <c r="AT4" s="1">
        <v>82</v>
      </c>
      <c r="AU4" s="4">
        <f t="shared" si="11"/>
        <v>-4.4193548387096797</v>
      </c>
      <c r="AV4" s="4">
        <f t="shared" ref="AV4:AV67" si="32">MIN(0,AV3+AU4+$AT$127)</f>
        <v>-2.7421836411849752</v>
      </c>
      <c r="AW4" s="2" t="b">
        <f>AV4&lt;=-$AT$128</f>
        <v>0</v>
      </c>
      <c r="AX4" s="1">
        <v>91</v>
      </c>
      <c r="AY4" s="4">
        <f t="shared" si="12"/>
        <v>1.8387096774193594</v>
      </c>
      <c r="AZ4" s="4">
        <f t="shared" ref="AZ4:AZ67" si="33">MIN(0,AZ3+AY4+$AX$127)</f>
        <v>0</v>
      </c>
      <c r="BA4" s="2" t="b">
        <f>AZ4&lt;=-$AX$128</f>
        <v>0</v>
      </c>
      <c r="BB4" s="1">
        <v>89</v>
      </c>
      <c r="BC4" s="4">
        <f t="shared" si="13"/>
        <v>2.3548387096774235</v>
      </c>
      <c r="BD4" s="4">
        <f t="shared" ref="BD4:BD67" si="34">MIN(0,BD3+BC4+$BB$127)</f>
        <v>0</v>
      </c>
      <c r="BE4" s="2" t="b">
        <f>BD4&lt;=-$BB$128</f>
        <v>0</v>
      </c>
      <c r="BF4" s="1">
        <v>83</v>
      </c>
      <c r="BG4" s="4">
        <f t="shared" si="14"/>
        <v>-8.2580645161290391</v>
      </c>
      <c r="BH4" s="4">
        <f t="shared" ref="BH4:BH67" si="35">MIN(0,BH3+BG4+$BF$127)</f>
        <v>-11.458479943311097</v>
      </c>
      <c r="BI4" s="2" t="b">
        <f>BH4&lt;=-$BF$128</f>
        <v>0</v>
      </c>
      <c r="BJ4" s="1">
        <v>95</v>
      </c>
      <c r="BK4" s="4">
        <f t="shared" si="15"/>
        <v>3.0645161290322562</v>
      </c>
      <c r="BL4" s="4">
        <f t="shared" ref="BL4:BL67" si="36">MIN(0,BL3+BK4+$BJ$127)</f>
        <v>0</v>
      </c>
      <c r="BM4" s="2" t="b">
        <f>BL4&lt;=-$BJ$128</f>
        <v>0</v>
      </c>
      <c r="BN4" s="1">
        <v>99</v>
      </c>
      <c r="BO4" s="4">
        <f t="shared" si="16"/>
        <v>4.9032258064516157</v>
      </c>
      <c r="BP4" s="4">
        <f t="shared" ref="BP4:BP67" si="37">MIN(0,BP3+BO4+$BN$127)</f>
        <v>0</v>
      </c>
      <c r="BQ4" s="2" t="b">
        <f>BP4&lt;=-$BN$128</f>
        <v>0</v>
      </c>
      <c r="BR4" s="1">
        <v>76</v>
      </c>
      <c r="BS4" s="4">
        <f t="shared" si="17"/>
        <v>-8.7096774193548328</v>
      </c>
      <c r="BT4" s="4">
        <f t="shared" ref="BT4:BT67" si="38">MIN(0,BT3+BS4+$BR$127)</f>
        <v>-6.7723530256479831</v>
      </c>
      <c r="BU4" s="2" t="b">
        <f>BT4&lt;=-$BR$128</f>
        <v>0</v>
      </c>
      <c r="BV4" s="1">
        <v>87</v>
      </c>
      <c r="BW4" s="2">
        <f t="shared" si="18"/>
        <v>0.3870967741935516</v>
      </c>
      <c r="BX4" s="4">
        <f t="shared" ref="BX4:BX67" si="39">MIN(0,BX3+BW4+$BV$127)</f>
        <v>0</v>
      </c>
      <c r="BY4" s="2" t="b">
        <f>BX4&lt;=-$BV$128</f>
        <v>0</v>
      </c>
      <c r="BZ4" s="1">
        <v>79</v>
      </c>
      <c r="CA4" s="2">
        <f t="shared" si="19"/>
        <v>-11.064516129032256</v>
      </c>
      <c r="CB4" s="4">
        <f t="shared" ref="CB4:CB67" si="40">MIN(0,CB3+CA4+$BZ$127)</f>
        <v>-10.570610474267955</v>
      </c>
      <c r="CC4" s="2" t="b">
        <f t="shared" si="20"/>
        <v>0</v>
      </c>
    </row>
    <row r="5" spans="1:81" x14ac:dyDescent="0.2">
      <c r="A5" s="3">
        <v>45842</v>
      </c>
      <c r="B5" s="1">
        <v>90</v>
      </c>
      <c r="C5" s="2">
        <f t="shared" si="0"/>
        <v>-1.1935483870967687</v>
      </c>
      <c r="D5" s="4">
        <f t="shared" si="21"/>
        <v>0</v>
      </c>
      <c r="E5" s="2" t="b">
        <f>D5&lt;=-$B$128</f>
        <v>0</v>
      </c>
      <c r="F5" s="1">
        <v>91</v>
      </c>
      <c r="G5" s="4">
        <f t="shared" si="1"/>
        <v>3.7419354838709609</v>
      </c>
      <c r="H5" s="4">
        <f t="shared" si="22"/>
        <v>0</v>
      </c>
      <c r="I5" s="2" t="b">
        <f>H5&lt;=-$F$128</f>
        <v>0</v>
      </c>
      <c r="J5" s="1">
        <v>91</v>
      </c>
      <c r="K5" s="4">
        <f t="shared" si="2"/>
        <v>1.2903225806451672</v>
      </c>
      <c r="L5" s="4">
        <f t="shared" si="23"/>
        <v>0</v>
      </c>
      <c r="M5" s="2" t="b">
        <f>L5&lt;=-$J$128</f>
        <v>0</v>
      </c>
      <c r="N5" s="1">
        <v>88</v>
      </c>
      <c r="O5" s="4">
        <f t="shared" si="3"/>
        <v>0.35483870967742348</v>
      </c>
      <c r="P5" s="4">
        <f t="shared" si="24"/>
        <v>0</v>
      </c>
      <c r="Q5" s="2" t="b">
        <f>P5&lt;=-$N$128</f>
        <v>0</v>
      </c>
      <c r="R5" s="1">
        <v>95</v>
      </c>
      <c r="S5" s="4">
        <f t="shared" si="4"/>
        <v>3.2580645161290391</v>
      </c>
      <c r="T5" s="4">
        <f t="shared" si="25"/>
        <v>0</v>
      </c>
      <c r="U5" s="2" t="b">
        <f>T5&lt;=-$R$128</f>
        <v>0</v>
      </c>
      <c r="V5" s="1">
        <v>84</v>
      </c>
      <c r="W5" s="4">
        <f t="shared" si="5"/>
        <v>-2.7419354838709609</v>
      </c>
      <c r="X5" s="4">
        <f t="shared" si="26"/>
        <v>-1.4383011925179761</v>
      </c>
      <c r="Y5" s="2" t="b">
        <f>X5&lt;=-$V$128</f>
        <v>0</v>
      </c>
      <c r="Z5" s="1">
        <v>89</v>
      </c>
      <c r="AA5" s="4">
        <f t="shared" si="6"/>
        <v>-0.25806451612903913</v>
      </c>
      <c r="AB5" s="4">
        <f t="shared" si="27"/>
        <v>0</v>
      </c>
      <c r="AC5" s="2" t="b">
        <f>AB5&lt;=-$Z$128</f>
        <v>0</v>
      </c>
      <c r="AD5" s="1">
        <v>86</v>
      </c>
      <c r="AE5" s="4">
        <f t="shared" si="7"/>
        <v>0.41935483870967971</v>
      </c>
      <c r="AF5" s="4">
        <f t="shared" si="28"/>
        <v>0</v>
      </c>
      <c r="AG5" s="2" t="b">
        <f>AF5&lt;=-$AD$128</f>
        <v>0</v>
      </c>
      <c r="AH5" s="1">
        <v>88</v>
      </c>
      <c r="AI5" s="4">
        <f t="shared" si="8"/>
        <v>0.16129032258064058</v>
      </c>
      <c r="AJ5" s="4">
        <f t="shared" si="29"/>
        <v>-3.8669875922680825</v>
      </c>
      <c r="AK5" s="2" t="b">
        <f>AJ5&lt;=-$AH$128</f>
        <v>0</v>
      </c>
      <c r="AL5" s="1">
        <v>86</v>
      </c>
      <c r="AM5" s="4">
        <f t="shared" si="9"/>
        <v>-0.93548387096774377</v>
      </c>
      <c r="AN5" s="4">
        <f t="shared" si="30"/>
        <v>0</v>
      </c>
      <c r="AO5" s="2" t="b">
        <f>AN5&lt;=-$AL$128</f>
        <v>0</v>
      </c>
      <c r="AP5" s="1">
        <v>91</v>
      </c>
      <c r="AQ5" s="4">
        <f t="shared" si="10"/>
        <v>0.80645161290323131</v>
      </c>
      <c r="AR5" s="4">
        <f t="shared" si="31"/>
        <v>0</v>
      </c>
      <c r="AS5" s="2" t="b">
        <f>AR5&lt;=-$AP$128</f>
        <v>0</v>
      </c>
      <c r="AT5" s="1">
        <v>86</v>
      </c>
      <c r="AU5" s="4">
        <f t="shared" si="11"/>
        <v>-0.41935483870967971</v>
      </c>
      <c r="AV5" s="4">
        <f t="shared" si="32"/>
        <v>-1.4843672823699505</v>
      </c>
      <c r="AW5" s="2" t="b">
        <f>AV5&lt;=-$AT$128</f>
        <v>0</v>
      </c>
      <c r="AX5" s="1">
        <v>90</v>
      </c>
      <c r="AY5" s="4">
        <f t="shared" si="12"/>
        <v>0.83870967741935942</v>
      </c>
      <c r="AZ5" s="4">
        <f t="shared" si="33"/>
        <v>0</v>
      </c>
      <c r="BA5" s="2" t="b">
        <f>AZ5&lt;=-$AX$128</f>
        <v>0</v>
      </c>
      <c r="BB5" s="1">
        <v>91</v>
      </c>
      <c r="BC5" s="4">
        <f t="shared" si="13"/>
        <v>4.3548387096774235</v>
      </c>
      <c r="BD5" s="4">
        <f t="shared" si="34"/>
        <v>0</v>
      </c>
      <c r="BE5" s="2" t="b">
        <f>BD5&lt;=-$BB$128</f>
        <v>0</v>
      </c>
      <c r="BF5" s="1">
        <v>85</v>
      </c>
      <c r="BG5" s="4">
        <f t="shared" si="14"/>
        <v>-6.2580645161290391</v>
      </c>
      <c r="BH5" s="4">
        <f t="shared" si="35"/>
        <v>-15.687719914966646</v>
      </c>
      <c r="BI5" s="2" t="b">
        <f>BH5&lt;=-$BF$128</f>
        <v>0</v>
      </c>
      <c r="BJ5" s="1">
        <v>92</v>
      </c>
      <c r="BK5" s="4">
        <f t="shared" si="15"/>
        <v>6.4516129032256231E-2</v>
      </c>
      <c r="BL5" s="4">
        <f t="shared" si="36"/>
        <v>0</v>
      </c>
      <c r="BM5" s="2" t="b">
        <f>BL5&lt;=-$BJ$128</f>
        <v>0</v>
      </c>
      <c r="BN5" s="1">
        <v>98</v>
      </c>
      <c r="BO5" s="4">
        <f t="shared" si="16"/>
        <v>3.9032258064516157</v>
      </c>
      <c r="BP5" s="4">
        <f t="shared" si="37"/>
        <v>0</v>
      </c>
      <c r="BQ5" s="2" t="b">
        <f>BP5&lt;=-$BN$128</f>
        <v>0</v>
      </c>
      <c r="BR5" s="1">
        <v>77</v>
      </c>
      <c r="BS5" s="4">
        <f t="shared" si="17"/>
        <v>-7.7096774193548328</v>
      </c>
      <c r="BT5" s="4">
        <f t="shared" si="38"/>
        <v>-12.544706051295968</v>
      </c>
      <c r="BU5" s="2" t="b">
        <f>BT5&lt;=-$BR$128</f>
        <v>0</v>
      </c>
      <c r="BV5" s="1">
        <v>84</v>
      </c>
      <c r="BW5" s="2">
        <f t="shared" si="18"/>
        <v>-2.6129032258064484</v>
      </c>
      <c r="BX5" s="4">
        <f t="shared" si="39"/>
        <v>-0.82089588135145264</v>
      </c>
      <c r="BY5" s="2" t="b">
        <f>BX5&lt;=-$BV$128</f>
        <v>0</v>
      </c>
      <c r="BZ5" s="1">
        <v>85</v>
      </c>
      <c r="CA5" s="2">
        <f t="shared" si="19"/>
        <v>-5.0645161290322562</v>
      </c>
      <c r="CB5" s="4">
        <f t="shared" si="40"/>
        <v>-13.855915711401932</v>
      </c>
      <c r="CC5" s="2" t="b">
        <f t="shared" si="20"/>
        <v>0</v>
      </c>
    </row>
    <row r="6" spans="1:81" x14ac:dyDescent="0.2">
      <c r="A6" s="3">
        <v>45843</v>
      </c>
      <c r="B6" s="1">
        <v>89</v>
      </c>
      <c r="C6" s="2">
        <f t="shared" si="0"/>
        <v>-2.1935483870967687</v>
      </c>
      <c r="D6" s="4">
        <f t="shared" si="21"/>
        <v>0</v>
      </c>
      <c r="E6" s="2" t="b">
        <f>D6&lt;=-$B$128</f>
        <v>0</v>
      </c>
      <c r="F6" s="1">
        <v>84</v>
      </c>
      <c r="G6" s="4">
        <f t="shared" si="1"/>
        <v>-3.2580645161290391</v>
      </c>
      <c r="H6" s="4">
        <f t="shared" si="22"/>
        <v>-1.0445915965767361</v>
      </c>
      <c r="I6" s="2" t="b">
        <f>H6&lt;=-$F$128</f>
        <v>0</v>
      </c>
      <c r="J6" s="1">
        <v>91</v>
      </c>
      <c r="K6" s="4">
        <f t="shared" si="2"/>
        <v>1.2903225806451672</v>
      </c>
      <c r="L6" s="4">
        <f t="shared" si="23"/>
        <v>0</v>
      </c>
      <c r="M6" s="2" t="b">
        <f>L6&lt;=-$J$128</f>
        <v>0</v>
      </c>
      <c r="N6" s="1">
        <v>90</v>
      </c>
      <c r="O6" s="4">
        <f t="shared" si="3"/>
        <v>2.3548387096774235</v>
      </c>
      <c r="P6" s="4">
        <f t="shared" si="24"/>
        <v>0</v>
      </c>
      <c r="Q6" s="2" t="b">
        <f>P6&lt;=-$N$128</f>
        <v>0</v>
      </c>
      <c r="R6" s="1">
        <v>96</v>
      </c>
      <c r="S6" s="4">
        <f t="shared" si="4"/>
        <v>4.2580645161290391</v>
      </c>
      <c r="T6" s="4">
        <f t="shared" si="25"/>
        <v>0</v>
      </c>
      <c r="U6" s="2" t="b">
        <f>T6&lt;=-$R$128</f>
        <v>0</v>
      </c>
      <c r="V6" s="1">
        <v>86</v>
      </c>
      <c r="W6" s="4">
        <f t="shared" si="5"/>
        <v>-0.74193548387096087</v>
      </c>
      <c r="X6" s="4">
        <f t="shared" si="26"/>
        <v>-0.87660238503595189</v>
      </c>
      <c r="Y6" s="2" t="b">
        <f>X6&lt;=-$V$128</f>
        <v>0</v>
      </c>
      <c r="Z6" s="1">
        <v>93</v>
      </c>
      <c r="AA6" s="4">
        <f t="shared" si="6"/>
        <v>3.7419354838709609</v>
      </c>
      <c r="AB6" s="4">
        <f t="shared" si="27"/>
        <v>0</v>
      </c>
      <c r="AC6" s="2" t="b">
        <f>AB6&lt;=-$Z$128</f>
        <v>0</v>
      </c>
      <c r="AD6" s="1">
        <v>80</v>
      </c>
      <c r="AE6" s="4">
        <f t="shared" si="7"/>
        <v>-5.5806451612903203</v>
      </c>
      <c r="AF6" s="4">
        <f t="shared" si="28"/>
        <v>-3.8352980441987699</v>
      </c>
      <c r="AG6" s="2" t="b">
        <f>AF6&lt;=-$AD$128</f>
        <v>0</v>
      </c>
      <c r="AH6" s="1">
        <v>90</v>
      </c>
      <c r="AI6" s="4">
        <f t="shared" si="8"/>
        <v>2.1612903225806406</v>
      </c>
      <c r="AJ6" s="4">
        <f t="shared" si="29"/>
        <v>-0.15598345635744315</v>
      </c>
      <c r="AK6" s="2" t="b">
        <f>AJ6&lt;=-$AH$128</f>
        <v>0</v>
      </c>
      <c r="AL6" s="1">
        <v>89</v>
      </c>
      <c r="AM6" s="4">
        <f t="shared" si="9"/>
        <v>2.0645161290322562</v>
      </c>
      <c r="AN6" s="4">
        <f t="shared" si="30"/>
        <v>0</v>
      </c>
      <c r="AO6" s="2" t="b">
        <f>AN6&lt;=-$AL$128</f>
        <v>0</v>
      </c>
      <c r="AP6" s="1">
        <v>90</v>
      </c>
      <c r="AQ6" s="4">
        <f t="shared" si="10"/>
        <v>-0.19354838709676869</v>
      </c>
      <c r="AR6" s="4">
        <f t="shared" si="31"/>
        <v>0</v>
      </c>
      <c r="AS6" s="2" t="b">
        <f>AR6&lt;=-$AP$128</f>
        <v>0</v>
      </c>
      <c r="AT6" s="1">
        <v>88</v>
      </c>
      <c r="AU6" s="4">
        <f t="shared" si="11"/>
        <v>1.5806451612903203</v>
      </c>
      <c r="AV6" s="4">
        <f t="shared" si="32"/>
        <v>0</v>
      </c>
      <c r="AW6" s="2" t="b">
        <f>AV6&lt;=-$AT$128</f>
        <v>0</v>
      </c>
      <c r="AX6" s="1">
        <v>88</v>
      </c>
      <c r="AY6" s="4">
        <f t="shared" si="12"/>
        <v>-1.1612903225806406</v>
      </c>
      <c r="AZ6" s="4">
        <f t="shared" si="33"/>
        <v>0</v>
      </c>
      <c r="BA6" s="2" t="b">
        <f>AZ6&lt;=-$AX$128</f>
        <v>0</v>
      </c>
      <c r="BB6" s="1">
        <v>80</v>
      </c>
      <c r="BC6" s="4">
        <f t="shared" si="13"/>
        <v>-6.6451612903225765</v>
      </c>
      <c r="BD6" s="4">
        <f t="shared" si="34"/>
        <v>-4.7987756900358338</v>
      </c>
      <c r="BE6" s="2" t="b">
        <f>BD6&lt;=-$BB$128</f>
        <v>0</v>
      </c>
      <c r="BF6" s="1">
        <v>88</v>
      </c>
      <c r="BG6" s="4">
        <f t="shared" si="14"/>
        <v>-3.2580645161290391</v>
      </c>
      <c r="BH6" s="4">
        <f t="shared" si="35"/>
        <v>-16.916959886622195</v>
      </c>
      <c r="BI6" s="2" t="b">
        <f>BH6&lt;=-$BF$128</f>
        <v>0</v>
      </c>
      <c r="BJ6" s="1">
        <v>90</v>
      </c>
      <c r="BK6" s="4">
        <f t="shared" si="15"/>
        <v>-1.9354838709677438</v>
      </c>
      <c r="BL6" s="4">
        <f t="shared" si="36"/>
        <v>-0.19893804725635511</v>
      </c>
      <c r="BM6" s="2" t="b">
        <f>BL6&lt;=-$BJ$128</f>
        <v>0</v>
      </c>
      <c r="BN6" s="1">
        <v>100</v>
      </c>
      <c r="BO6" s="4">
        <f t="shared" si="16"/>
        <v>5.9032258064516157</v>
      </c>
      <c r="BP6" s="4">
        <f t="shared" si="37"/>
        <v>0</v>
      </c>
      <c r="BQ6" s="2" t="b">
        <f>BP6&lt;=-$BN$128</f>
        <v>0</v>
      </c>
      <c r="BR6" s="1">
        <v>83</v>
      </c>
      <c r="BS6" s="4">
        <f t="shared" si="17"/>
        <v>-1.7096774193548328</v>
      </c>
      <c r="BT6" s="4">
        <f t="shared" si="38"/>
        <v>-12.317059076943952</v>
      </c>
      <c r="BU6" s="2" t="b">
        <f>BT6&lt;=-$BR$128</f>
        <v>0</v>
      </c>
      <c r="BV6" s="1">
        <v>86</v>
      </c>
      <c r="BW6" s="2">
        <f t="shared" si="18"/>
        <v>-0.6129032258064484</v>
      </c>
      <c r="BX6" s="4">
        <f t="shared" si="39"/>
        <v>0</v>
      </c>
      <c r="BY6" s="2" t="b">
        <f>BX6&lt;=-$BV$128</f>
        <v>0</v>
      </c>
      <c r="BZ6" s="1">
        <v>84</v>
      </c>
      <c r="CA6" s="2">
        <f t="shared" si="19"/>
        <v>-6.0645161290322562</v>
      </c>
      <c r="CB6" s="4">
        <f t="shared" si="40"/>
        <v>-18.141220948535913</v>
      </c>
      <c r="CC6" s="2" t="b">
        <f t="shared" si="20"/>
        <v>1</v>
      </c>
    </row>
    <row r="7" spans="1:81" x14ac:dyDescent="0.2">
      <c r="A7" s="3">
        <v>45844</v>
      </c>
      <c r="B7" s="1">
        <v>93</v>
      </c>
      <c r="C7" s="2">
        <f t="shared" si="0"/>
        <v>1.8064516129032313</v>
      </c>
      <c r="D7" s="4">
        <f t="shared" si="21"/>
        <v>0</v>
      </c>
      <c r="E7" s="2" t="b">
        <f>D7&lt;=-$B$128</f>
        <v>0</v>
      </c>
      <c r="F7" s="1">
        <v>84</v>
      </c>
      <c r="G7" s="4">
        <f t="shared" si="1"/>
        <v>-3.2580645161290391</v>
      </c>
      <c r="H7" s="4">
        <f t="shared" si="22"/>
        <v>-2.0891831931534721</v>
      </c>
      <c r="I7" s="2" t="b">
        <f>H7&lt;=-$F$128</f>
        <v>0</v>
      </c>
      <c r="J7" s="1">
        <v>89</v>
      </c>
      <c r="K7" s="4">
        <f t="shared" si="2"/>
        <v>-0.70967741935483275</v>
      </c>
      <c r="L7" s="4">
        <f t="shared" si="23"/>
        <v>0</v>
      </c>
      <c r="M7" s="2" t="b">
        <f>L7&lt;=-$J$128</f>
        <v>0</v>
      </c>
      <c r="N7" s="1">
        <v>91</v>
      </c>
      <c r="O7" s="4">
        <f t="shared" si="3"/>
        <v>3.3548387096774235</v>
      </c>
      <c r="P7" s="4">
        <f t="shared" si="24"/>
        <v>0</v>
      </c>
      <c r="Q7" s="2" t="b">
        <f>P7&lt;=-$N$128</f>
        <v>0</v>
      </c>
      <c r="R7" s="1">
        <v>96</v>
      </c>
      <c r="S7" s="4">
        <f t="shared" si="4"/>
        <v>4.2580645161290391</v>
      </c>
      <c r="T7" s="4">
        <f t="shared" si="25"/>
        <v>0</v>
      </c>
      <c r="U7" s="2" t="b">
        <f>T7&lt;=-$R$128</f>
        <v>0</v>
      </c>
      <c r="V7" s="1">
        <v>87</v>
      </c>
      <c r="W7" s="4">
        <f t="shared" si="5"/>
        <v>0.25806451612903913</v>
      </c>
      <c r="X7" s="4">
        <f t="shared" si="26"/>
        <v>0</v>
      </c>
      <c r="Y7" s="2" t="b">
        <f>X7&lt;=-$V$128</f>
        <v>0</v>
      </c>
      <c r="Z7" s="1">
        <v>93</v>
      </c>
      <c r="AA7" s="4">
        <f t="shared" si="6"/>
        <v>3.7419354838709609</v>
      </c>
      <c r="AB7" s="4">
        <f t="shared" si="27"/>
        <v>0</v>
      </c>
      <c r="AC7" s="2" t="b">
        <f>AB7&lt;=-$Z$128</f>
        <v>0</v>
      </c>
      <c r="AD7" s="1">
        <v>84</v>
      </c>
      <c r="AE7" s="4">
        <f t="shared" si="7"/>
        <v>-1.5806451612903203</v>
      </c>
      <c r="AF7" s="4">
        <f t="shared" si="28"/>
        <v>-3.6705960883975397</v>
      </c>
      <c r="AG7" s="2" t="b">
        <f>AF7&lt;=-$AD$128</f>
        <v>0</v>
      </c>
      <c r="AH7" s="1">
        <v>90</v>
      </c>
      <c r="AI7" s="4">
        <f t="shared" si="8"/>
        <v>2.1612903225806406</v>
      </c>
      <c r="AJ7" s="4">
        <f t="shared" si="29"/>
        <v>0</v>
      </c>
      <c r="AK7" s="2" t="b">
        <f>AJ7&lt;=-$AH$128</f>
        <v>0</v>
      </c>
      <c r="AL7" s="1">
        <v>82</v>
      </c>
      <c r="AM7" s="4">
        <f t="shared" si="9"/>
        <v>-4.9354838709677438</v>
      </c>
      <c r="AN7" s="4">
        <f t="shared" si="30"/>
        <v>-2.7334564571550093</v>
      </c>
      <c r="AO7" s="2" t="b">
        <f>AN7&lt;=-$AL$128</f>
        <v>0</v>
      </c>
      <c r="AP7" s="1">
        <v>81</v>
      </c>
      <c r="AQ7" s="4">
        <f t="shared" si="10"/>
        <v>-9.1935483870967687</v>
      </c>
      <c r="AR7" s="4">
        <f t="shared" si="31"/>
        <v>-7.0745102608127794</v>
      </c>
      <c r="AS7" s="2" t="b">
        <f>AR7&lt;=-$AP$128</f>
        <v>0</v>
      </c>
      <c r="AT7" s="1">
        <v>87</v>
      </c>
      <c r="AU7" s="4">
        <f t="shared" si="11"/>
        <v>0.58064516129032029</v>
      </c>
      <c r="AV7" s="4">
        <f t="shared" si="32"/>
        <v>0</v>
      </c>
      <c r="AW7" s="2" t="b">
        <f>AV7&lt;=-$AT$128</f>
        <v>0</v>
      </c>
      <c r="AX7" s="1">
        <v>82</v>
      </c>
      <c r="AY7" s="4">
        <f t="shared" si="12"/>
        <v>-7.1612903225806406</v>
      </c>
      <c r="AZ7" s="4">
        <f t="shared" si="33"/>
        <v>-5.7883568804359973</v>
      </c>
      <c r="BA7" s="2" t="b">
        <f>AZ7&lt;=-$AX$128</f>
        <v>0</v>
      </c>
      <c r="BB7" s="1">
        <v>87</v>
      </c>
      <c r="BC7" s="4">
        <f t="shared" si="13"/>
        <v>0.35483870967742348</v>
      </c>
      <c r="BD7" s="4">
        <f t="shared" si="34"/>
        <v>-2.5975513800716676</v>
      </c>
      <c r="BE7" s="2" t="b">
        <f>BD7&lt;=-$BB$128</f>
        <v>0</v>
      </c>
      <c r="BF7" s="1">
        <v>89</v>
      </c>
      <c r="BG7" s="4">
        <f t="shared" si="14"/>
        <v>-2.2580645161290391</v>
      </c>
      <c r="BH7" s="4">
        <f t="shared" si="35"/>
        <v>-17.146199858277743</v>
      </c>
      <c r="BI7" s="2" t="b">
        <f>BH7&lt;=-$BF$128</f>
        <v>0</v>
      </c>
      <c r="BJ7" s="1">
        <v>90</v>
      </c>
      <c r="BK7" s="4">
        <f t="shared" si="15"/>
        <v>-1.9354838709677438</v>
      </c>
      <c r="BL7" s="4">
        <f t="shared" si="36"/>
        <v>-0.39787609451271044</v>
      </c>
      <c r="BM7" s="2" t="b">
        <f>BL7&lt;=-$BJ$128</f>
        <v>0</v>
      </c>
      <c r="BN7" s="1">
        <v>98</v>
      </c>
      <c r="BO7" s="4">
        <f t="shared" si="16"/>
        <v>3.9032258064516157</v>
      </c>
      <c r="BP7" s="4">
        <f t="shared" si="37"/>
        <v>0</v>
      </c>
      <c r="BQ7" s="2" t="b">
        <f>BP7&lt;=-$BN$128</f>
        <v>0</v>
      </c>
      <c r="BR7" s="1">
        <v>83</v>
      </c>
      <c r="BS7" s="4">
        <f t="shared" si="17"/>
        <v>-1.7096774193548328</v>
      </c>
      <c r="BT7" s="4">
        <f t="shared" si="38"/>
        <v>-12.089412102591936</v>
      </c>
      <c r="BU7" s="2" t="b">
        <f>BT7&lt;=-$BR$128</f>
        <v>0</v>
      </c>
      <c r="BV7" s="1">
        <v>87</v>
      </c>
      <c r="BW7" s="2">
        <f t="shared" si="18"/>
        <v>0.3870967741935516</v>
      </c>
      <c r="BX7" s="4">
        <f t="shared" si="39"/>
        <v>0</v>
      </c>
      <c r="BY7" s="2" t="b">
        <f>BX7&lt;=-$BV$128</f>
        <v>0</v>
      </c>
      <c r="BZ7" s="1">
        <v>84</v>
      </c>
      <c r="CA7" s="2">
        <f t="shared" si="19"/>
        <v>-6.0645161290322562</v>
      </c>
      <c r="CB7" s="4">
        <f t="shared" si="40"/>
        <v>-22.426526185669893</v>
      </c>
      <c r="CC7" s="2" t="b">
        <f t="shared" si="20"/>
        <v>1</v>
      </c>
    </row>
    <row r="8" spans="1:81" x14ac:dyDescent="0.2">
      <c r="A8" s="3">
        <v>45845</v>
      </c>
      <c r="B8" s="1">
        <v>93</v>
      </c>
      <c r="C8" s="2">
        <f t="shared" si="0"/>
        <v>1.8064516129032313</v>
      </c>
      <c r="D8" s="4">
        <f t="shared" si="21"/>
        <v>0</v>
      </c>
      <c r="E8" s="2" t="b">
        <f>D8&lt;=-$B$128</f>
        <v>0</v>
      </c>
      <c r="F8" s="1">
        <v>75</v>
      </c>
      <c r="G8" s="4">
        <f t="shared" si="1"/>
        <v>-12.258064516129039</v>
      </c>
      <c r="H8" s="4">
        <f t="shared" si="22"/>
        <v>-12.133774789730207</v>
      </c>
      <c r="I8" s="2" t="b">
        <f>H8&lt;=-$F$128</f>
        <v>0</v>
      </c>
      <c r="J8" s="1">
        <v>93</v>
      </c>
      <c r="K8" s="4">
        <f t="shared" si="2"/>
        <v>3.2903225806451672</v>
      </c>
      <c r="L8" s="4">
        <f t="shared" si="23"/>
        <v>0</v>
      </c>
      <c r="M8" s="2" t="b">
        <f>L8&lt;=-$J$128</f>
        <v>0</v>
      </c>
      <c r="N8" s="1">
        <v>82</v>
      </c>
      <c r="O8" s="4">
        <f t="shared" si="3"/>
        <v>-5.6451612903225765</v>
      </c>
      <c r="P8" s="4">
        <f t="shared" si="24"/>
        <v>-2.753943590987876</v>
      </c>
      <c r="Q8" s="2" t="b">
        <f>P8&lt;=-$N$128</f>
        <v>0</v>
      </c>
      <c r="R8" s="1">
        <v>96</v>
      </c>
      <c r="S8" s="4">
        <f t="shared" si="4"/>
        <v>4.2580645161290391</v>
      </c>
      <c r="T8" s="4">
        <f t="shared" si="25"/>
        <v>0</v>
      </c>
      <c r="U8" s="2" t="b">
        <f>T8&lt;=-$R$128</f>
        <v>0</v>
      </c>
      <c r="V8" s="1">
        <v>87</v>
      </c>
      <c r="W8" s="4">
        <f t="shared" si="5"/>
        <v>0.25806451612903913</v>
      </c>
      <c r="X8" s="4">
        <f t="shared" si="26"/>
        <v>0</v>
      </c>
      <c r="Y8" s="2" t="b">
        <f>X8&lt;=-$V$128</f>
        <v>0</v>
      </c>
      <c r="Z8" s="1">
        <v>89</v>
      </c>
      <c r="AA8" s="4">
        <f t="shared" si="6"/>
        <v>-0.25806451612903913</v>
      </c>
      <c r="AB8" s="4">
        <f t="shared" si="27"/>
        <v>0</v>
      </c>
      <c r="AC8" s="2" t="b">
        <f>AB8&lt;=-$Z$128</f>
        <v>0</v>
      </c>
      <c r="AD8" s="1">
        <v>87</v>
      </c>
      <c r="AE8" s="4">
        <f t="shared" si="7"/>
        <v>1.4193548387096797</v>
      </c>
      <c r="AF8" s="4">
        <f t="shared" si="28"/>
        <v>-0.50589413259630978</v>
      </c>
      <c r="AG8" s="2" t="b">
        <f>AF8&lt;=-$AD$128</f>
        <v>0</v>
      </c>
      <c r="AH8" s="1">
        <v>89</v>
      </c>
      <c r="AI8" s="4">
        <f t="shared" si="8"/>
        <v>1.1612903225806406</v>
      </c>
      <c r="AJ8" s="4">
        <f t="shared" si="29"/>
        <v>0</v>
      </c>
      <c r="AK8" s="2" t="b">
        <f>AJ8&lt;=-$AH$128</f>
        <v>0</v>
      </c>
      <c r="AL8" s="1">
        <v>76</v>
      </c>
      <c r="AM8" s="4">
        <f t="shared" si="9"/>
        <v>-10.935483870967744</v>
      </c>
      <c r="AN8" s="4">
        <f t="shared" si="30"/>
        <v>-11.466912914310019</v>
      </c>
      <c r="AO8" s="2" t="b">
        <f>AN8&lt;=-$AL$128</f>
        <v>0</v>
      </c>
      <c r="AP8" s="1">
        <v>80</v>
      </c>
      <c r="AQ8" s="4">
        <f t="shared" si="10"/>
        <v>-10.193548387096769</v>
      </c>
      <c r="AR8" s="4">
        <f t="shared" si="31"/>
        <v>-15.149020521625559</v>
      </c>
      <c r="AS8" s="2" t="b">
        <f>AR8&lt;=-$AP$128</f>
        <v>0</v>
      </c>
      <c r="AT8" s="1">
        <v>82</v>
      </c>
      <c r="AU8" s="4">
        <f t="shared" si="11"/>
        <v>-4.4193548387096797</v>
      </c>
      <c r="AV8" s="4">
        <f t="shared" si="32"/>
        <v>-2.7421836411849752</v>
      </c>
      <c r="AW8" s="2" t="b">
        <f>AV8&lt;=-$AT$128</f>
        <v>0</v>
      </c>
      <c r="AX8" s="1">
        <v>88</v>
      </c>
      <c r="AY8" s="4">
        <f t="shared" si="12"/>
        <v>-1.1612903225806406</v>
      </c>
      <c r="AZ8" s="4">
        <f t="shared" si="33"/>
        <v>-5.5767137608719946</v>
      </c>
      <c r="BA8" s="2" t="b">
        <f>AZ8&lt;=-$AX$128</f>
        <v>0</v>
      </c>
      <c r="BB8" s="1">
        <v>86</v>
      </c>
      <c r="BC8" s="4">
        <f t="shared" si="13"/>
        <v>-0.64516129032257652</v>
      </c>
      <c r="BD8" s="4">
        <f t="shared" si="34"/>
        <v>-1.3963270701075015</v>
      </c>
      <c r="BE8" s="2" t="b">
        <f>BD8&lt;=-$BB$128</f>
        <v>0</v>
      </c>
      <c r="BF8" s="1">
        <v>94</v>
      </c>
      <c r="BG8" s="4">
        <f t="shared" si="14"/>
        <v>2.7419354838709609</v>
      </c>
      <c r="BH8" s="4">
        <f t="shared" si="35"/>
        <v>-12.375439829933292</v>
      </c>
      <c r="BI8" s="2" t="b">
        <f>BH8&lt;=-$BF$128</f>
        <v>0</v>
      </c>
      <c r="BJ8" s="1">
        <v>94</v>
      </c>
      <c r="BK8" s="4">
        <f t="shared" si="15"/>
        <v>2.0645161290322562</v>
      </c>
      <c r="BL8" s="4">
        <f t="shared" si="36"/>
        <v>0</v>
      </c>
      <c r="BM8" s="2" t="b">
        <f>BL8&lt;=-$BJ$128</f>
        <v>0</v>
      </c>
      <c r="BN8" s="1">
        <v>93</v>
      </c>
      <c r="BO8" s="4">
        <f t="shared" si="16"/>
        <v>-1.0967741935483843</v>
      </c>
      <c r="BP8" s="4">
        <f t="shared" si="37"/>
        <v>0</v>
      </c>
      <c r="BQ8" s="2" t="b">
        <f>BP8&lt;=-$BN$128</f>
        <v>0</v>
      </c>
      <c r="BR8" s="1">
        <v>79</v>
      </c>
      <c r="BS8" s="4">
        <f t="shared" si="17"/>
        <v>-5.7096774193548328</v>
      </c>
      <c r="BT8" s="4">
        <f t="shared" si="38"/>
        <v>-15.86176512823992</v>
      </c>
      <c r="BU8" s="2" t="b">
        <f>BT8&lt;=-$BR$128</f>
        <v>0</v>
      </c>
      <c r="BV8" s="1">
        <v>89</v>
      </c>
      <c r="BW8" s="2">
        <f t="shared" si="18"/>
        <v>2.3870967741935516</v>
      </c>
      <c r="BX8" s="4">
        <f t="shared" si="39"/>
        <v>0</v>
      </c>
      <c r="BY8" s="2" t="b">
        <f>BX8&lt;=-$BV$128</f>
        <v>0</v>
      </c>
      <c r="BZ8" s="1">
        <v>90</v>
      </c>
      <c r="CA8" s="2">
        <f t="shared" si="19"/>
        <v>-6.4516129032256231E-2</v>
      </c>
      <c r="CB8" s="4">
        <f t="shared" si="40"/>
        <v>-20.711831422803872</v>
      </c>
      <c r="CC8" s="2" t="b">
        <f t="shared" si="20"/>
        <v>1</v>
      </c>
    </row>
    <row r="9" spans="1:81" x14ac:dyDescent="0.2">
      <c r="A9" s="3">
        <v>45846</v>
      </c>
      <c r="B9" s="1">
        <v>91</v>
      </c>
      <c r="C9" s="2">
        <f t="shared" si="0"/>
        <v>-0.19354838709676869</v>
      </c>
      <c r="D9" s="4">
        <f t="shared" si="21"/>
        <v>0</v>
      </c>
      <c r="E9" s="2" t="b">
        <f>D9&lt;=-$B$128</f>
        <v>0</v>
      </c>
      <c r="F9" s="1">
        <v>87</v>
      </c>
      <c r="G9" s="4">
        <f t="shared" si="1"/>
        <v>-0.25806451612903913</v>
      </c>
      <c r="H9" s="4">
        <f t="shared" si="22"/>
        <v>-10.178366386306944</v>
      </c>
      <c r="I9" s="2" t="b">
        <f>H9&lt;=-$F$128</f>
        <v>0</v>
      </c>
      <c r="J9" s="1">
        <v>95</v>
      </c>
      <c r="K9" s="4">
        <f t="shared" si="2"/>
        <v>5.2903225806451672</v>
      </c>
      <c r="L9" s="4">
        <f t="shared" si="23"/>
        <v>0</v>
      </c>
      <c r="M9" s="2" t="b">
        <f>L9&lt;=-$J$128</f>
        <v>0</v>
      </c>
      <c r="N9" s="1">
        <v>86</v>
      </c>
      <c r="O9" s="4">
        <f t="shared" si="3"/>
        <v>-1.6451612903225765</v>
      </c>
      <c r="P9" s="4">
        <f t="shared" si="24"/>
        <v>-1.507887181975752</v>
      </c>
      <c r="Q9" s="2" t="b">
        <f>P9&lt;=-$N$128</f>
        <v>0</v>
      </c>
      <c r="R9" s="1">
        <v>91</v>
      </c>
      <c r="S9" s="4">
        <f t="shared" si="4"/>
        <v>-0.74193548387096087</v>
      </c>
      <c r="T9" s="4">
        <f t="shared" si="25"/>
        <v>0</v>
      </c>
      <c r="U9" s="2" t="b">
        <f>T9&lt;=-$R$128</f>
        <v>0</v>
      </c>
      <c r="V9" s="1">
        <v>89</v>
      </c>
      <c r="W9" s="4">
        <f t="shared" si="5"/>
        <v>2.2580645161290391</v>
      </c>
      <c r="X9" s="4">
        <f t="shared" si="26"/>
        <v>0</v>
      </c>
      <c r="Y9" s="2" t="b">
        <f>X9&lt;=-$V$128</f>
        <v>0</v>
      </c>
      <c r="Z9" s="1">
        <v>89</v>
      </c>
      <c r="AA9" s="4">
        <f t="shared" si="6"/>
        <v>-0.25806451612903913</v>
      </c>
      <c r="AB9" s="4">
        <f t="shared" si="27"/>
        <v>0</v>
      </c>
      <c r="AC9" s="2" t="b">
        <f>AB9&lt;=-$Z$128</f>
        <v>0</v>
      </c>
      <c r="AD9" s="1">
        <v>90</v>
      </c>
      <c r="AE9" s="4">
        <f t="shared" si="7"/>
        <v>4.4193548387096797</v>
      </c>
      <c r="AF9" s="4">
        <f t="shared" si="28"/>
        <v>0</v>
      </c>
      <c r="AG9" s="2" t="b">
        <f>AF9&lt;=-$AD$128</f>
        <v>0</v>
      </c>
      <c r="AH9" s="1">
        <v>87</v>
      </c>
      <c r="AI9" s="4">
        <f t="shared" si="8"/>
        <v>-0.83870967741935942</v>
      </c>
      <c r="AJ9" s="4">
        <f t="shared" si="29"/>
        <v>0</v>
      </c>
      <c r="AK9" s="2" t="b">
        <f>AJ9&lt;=-$AH$128</f>
        <v>0</v>
      </c>
      <c r="AL9" s="1">
        <v>88</v>
      </c>
      <c r="AM9" s="4">
        <f t="shared" si="9"/>
        <v>1.0645161290322562</v>
      </c>
      <c r="AN9" s="4">
        <f t="shared" si="30"/>
        <v>-8.2003693714650279</v>
      </c>
      <c r="AO9" s="2" t="b">
        <f>AN9&lt;=-$AL$128</f>
        <v>0</v>
      </c>
      <c r="AP9" s="1">
        <v>82</v>
      </c>
      <c r="AQ9" s="4">
        <f t="shared" si="10"/>
        <v>-8.1935483870967687</v>
      </c>
      <c r="AR9" s="4">
        <f t="shared" si="31"/>
        <v>-21.223530782438338</v>
      </c>
      <c r="AS9" s="2" t="b">
        <f>AR9&lt;=-$AP$128</f>
        <v>1</v>
      </c>
      <c r="AT9" s="1">
        <v>82</v>
      </c>
      <c r="AU9" s="4">
        <f t="shared" si="11"/>
        <v>-4.4193548387096797</v>
      </c>
      <c r="AV9" s="4">
        <f t="shared" si="32"/>
        <v>-5.4843672823699503</v>
      </c>
      <c r="AW9" s="2" t="b">
        <f>AV9&lt;=-$AT$128</f>
        <v>0</v>
      </c>
      <c r="AX9" s="1">
        <v>90</v>
      </c>
      <c r="AY9" s="4">
        <f t="shared" si="12"/>
        <v>0.83870967741935942</v>
      </c>
      <c r="AZ9" s="4">
        <f t="shared" si="33"/>
        <v>-3.3650706413079918</v>
      </c>
      <c r="BA9" s="2" t="b">
        <f>AZ9&lt;=-$AX$128</f>
        <v>0</v>
      </c>
      <c r="BB9" s="1">
        <v>82</v>
      </c>
      <c r="BC9" s="4">
        <f t="shared" si="13"/>
        <v>-4.6451612903225765</v>
      </c>
      <c r="BD9" s="4">
        <f t="shared" si="34"/>
        <v>-4.1951027601433353</v>
      </c>
      <c r="BE9" s="2" t="b">
        <f>BD9&lt;=-$BB$128</f>
        <v>0</v>
      </c>
      <c r="BF9" s="1">
        <v>97</v>
      </c>
      <c r="BG9" s="4">
        <f t="shared" si="14"/>
        <v>5.7419354838709609</v>
      </c>
      <c r="BH9" s="4">
        <f t="shared" si="35"/>
        <v>-4.6046798015888415</v>
      </c>
      <c r="BI9" s="2" t="b">
        <f>BH9&lt;=-$BF$128</f>
        <v>0</v>
      </c>
      <c r="BJ9" s="1">
        <v>94</v>
      </c>
      <c r="BK9" s="4">
        <f t="shared" si="15"/>
        <v>2.0645161290322562</v>
      </c>
      <c r="BL9" s="4">
        <f t="shared" si="36"/>
        <v>0</v>
      </c>
      <c r="BM9" s="2" t="b">
        <f>BL9&lt;=-$BJ$128</f>
        <v>0</v>
      </c>
      <c r="BN9" s="1">
        <v>95</v>
      </c>
      <c r="BO9" s="4">
        <f t="shared" si="16"/>
        <v>0.90322580645161565</v>
      </c>
      <c r="BP9" s="4">
        <f t="shared" si="37"/>
        <v>0</v>
      </c>
      <c r="BQ9" s="2" t="b">
        <f>BP9&lt;=-$BN$128</f>
        <v>0</v>
      </c>
      <c r="BR9" s="1">
        <v>88</v>
      </c>
      <c r="BS9" s="4">
        <f t="shared" si="17"/>
        <v>3.2903225806451672</v>
      </c>
      <c r="BT9" s="4">
        <f t="shared" si="38"/>
        <v>-10.634118153887904</v>
      </c>
      <c r="BU9" s="2" t="b">
        <f>BT9&lt;=-$BR$128</f>
        <v>0</v>
      </c>
      <c r="BV9" s="1">
        <v>90</v>
      </c>
      <c r="BW9" s="2">
        <f t="shared" si="18"/>
        <v>3.3870967741935516</v>
      </c>
      <c r="BX9" s="4">
        <f t="shared" si="39"/>
        <v>0</v>
      </c>
      <c r="BY9" s="2" t="b">
        <f>BX9&lt;=-$BV$128</f>
        <v>0</v>
      </c>
      <c r="BZ9" s="1">
        <v>90</v>
      </c>
      <c r="CA9" s="2">
        <f t="shared" si="19"/>
        <v>-6.4516129032256231E-2</v>
      </c>
      <c r="CB9" s="4">
        <f t="shared" si="40"/>
        <v>-18.997136659937851</v>
      </c>
      <c r="CC9" s="2" t="b">
        <f t="shared" si="20"/>
        <v>1</v>
      </c>
    </row>
    <row r="10" spans="1:81" x14ac:dyDescent="0.2">
      <c r="A10" s="3">
        <v>45847</v>
      </c>
      <c r="B10" s="1">
        <v>93</v>
      </c>
      <c r="C10" s="2">
        <f t="shared" si="0"/>
        <v>1.8064516129032313</v>
      </c>
      <c r="D10" s="4">
        <f t="shared" si="21"/>
        <v>0</v>
      </c>
      <c r="E10" s="2" t="b">
        <f>D10&lt;=-$B$128</f>
        <v>0</v>
      </c>
      <c r="F10" s="1">
        <v>84</v>
      </c>
      <c r="G10" s="4">
        <f t="shared" si="1"/>
        <v>-3.2580645161290391</v>
      </c>
      <c r="H10" s="4">
        <f t="shared" si="22"/>
        <v>-11.222957982883681</v>
      </c>
      <c r="I10" s="2" t="b">
        <f>H10&lt;=-$F$128</f>
        <v>0</v>
      </c>
      <c r="J10" s="1">
        <v>95</v>
      </c>
      <c r="K10" s="4">
        <f t="shared" si="2"/>
        <v>5.2903225806451672</v>
      </c>
      <c r="L10" s="4">
        <f t="shared" si="23"/>
        <v>0</v>
      </c>
      <c r="M10" s="2" t="b">
        <f>L10&lt;=-$J$128</f>
        <v>0</v>
      </c>
      <c r="N10" s="1">
        <v>87</v>
      </c>
      <c r="O10" s="4">
        <f t="shared" si="3"/>
        <v>-0.64516129032257652</v>
      </c>
      <c r="P10" s="4">
        <f t="shared" si="24"/>
        <v>0</v>
      </c>
      <c r="Q10" s="2" t="b">
        <f>P10&lt;=-$N$128</f>
        <v>0</v>
      </c>
      <c r="R10" s="1">
        <v>96</v>
      </c>
      <c r="S10" s="4">
        <f t="shared" si="4"/>
        <v>4.2580645161290391</v>
      </c>
      <c r="T10" s="4">
        <f t="shared" si="25"/>
        <v>0</v>
      </c>
      <c r="U10" s="2" t="b">
        <f>T10&lt;=-$R$128</f>
        <v>0</v>
      </c>
      <c r="V10" s="1">
        <v>91</v>
      </c>
      <c r="W10" s="4">
        <f t="shared" si="5"/>
        <v>4.2580645161290391</v>
      </c>
      <c r="X10" s="4">
        <f t="shared" si="26"/>
        <v>0</v>
      </c>
      <c r="Y10" s="2" t="b">
        <f>X10&lt;=-$V$128</f>
        <v>0</v>
      </c>
      <c r="Z10" s="1">
        <v>90</v>
      </c>
      <c r="AA10" s="4">
        <f t="shared" si="6"/>
        <v>0.74193548387096087</v>
      </c>
      <c r="AB10" s="4">
        <f t="shared" si="27"/>
        <v>0</v>
      </c>
      <c r="AC10" s="2" t="b">
        <f>AB10&lt;=-$Z$128</f>
        <v>0</v>
      </c>
      <c r="AD10" s="1">
        <v>89</v>
      </c>
      <c r="AE10" s="4">
        <f t="shared" si="7"/>
        <v>3.4193548387096797</v>
      </c>
      <c r="AF10" s="4">
        <f t="shared" si="28"/>
        <v>0</v>
      </c>
      <c r="AG10" s="2" t="b">
        <f>AF10&lt;=-$AD$128</f>
        <v>0</v>
      </c>
      <c r="AH10" s="1">
        <v>88</v>
      </c>
      <c r="AI10" s="4">
        <f t="shared" si="8"/>
        <v>0.16129032258064058</v>
      </c>
      <c r="AJ10" s="4">
        <f t="shared" si="29"/>
        <v>0</v>
      </c>
      <c r="AK10" s="2" t="b">
        <f>AJ10&lt;=-$AH$128</f>
        <v>0</v>
      </c>
      <c r="AL10" s="1">
        <v>89</v>
      </c>
      <c r="AM10" s="4">
        <f t="shared" si="9"/>
        <v>2.0645161290322562</v>
      </c>
      <c r="AN10" s="4">
        <f t="shared" si="30"/>
        <v>-3.9338258286200372</v>
      </c>
      <c r="AO10" s="2" t="b">
        <f>AN10&lt;=-$AL$128</f>
        <v>0</v>
      </c>
      <c r="AP10" s="1">
        <v>84</v>
      </c>
      <c r="AQ10" s="4">
        <f t="shared" si="10"/>
        <v>-6.1935483870967687</v>
      </c>
      <c r="AR10" s="4">
        <f t="shared" si="31"/>
        <v>-25.298041043251118</v>
      </c>
      <c r="AS10" s="2" t="b">
        <f>AR10&lt;=-$AP$128</f>
        <v>1</v>
      </c>
      <c r="AT10" s="1">
        <v>89</v>
      </c>
      <c r="AU10" s="4">
        <f t="shared" si="11"/>
        <v>2.5806451612903203</v>
      </c>
      <c r="AV10" s="4">
        <f t="shared" si="32"/>
        <v>-1.2265509235549257</v>
      </c>
      <c r="AW10" s="2" t="b">
        <f>AV10&lt;=-$AT$128</f>
        <v>0</v>
      </c>
      <c r="AX10" s="1">
        <v>89</v>
      </c>
      <c r="AY10" s="4">
        <f t="shared" si="12"/>
        <v>-0.16129032258064058</v>
      </c>
      <c r="AZ10" s="4">
        <f t="shared" si="33"/>
        <v>-2.1534275217439891</v>
      </c>
      <c r="BA10" s="2" t="b">
        <f>AZ10&lt;=-$AX$128</f>
        <v>0</v>
      </c>
      <c r="BB10" s="1">
        <v>84</v>
      </c>
      <c r="BC10" s="4">
        <f t="shared" si="13"/>
        <v>-2.6451612903225765</v>
      </c>
      <c r="BD10" s="4">
        <f t="shared" si="34"/>
        <v>-4.9938784501791691</v>
      </c>
      <c r="BE10" s="2" t="b">
        <f>BD10&lt;=-$BB$128</f>
        <v>0</v>
      </c>
      <c r="BF10" s="1">
        <v>96</v>
      </c>
      <c r="BG10" s="4">
        <f t="shared" si="14"/>
        <v>4.7419354838709609</v>
      </c>
      <c r="BH10" s="4">
        <f t="shared" si="35"/>
        <v>0</v>
      </c>
      <c r="BI10" s="2" t="b">
        <f>BH10&lt;=-$BF$128</f>
        <v>0</v>
      </c>
      <c r="BJ10" s="1">
        <v>91</v>
      </c>
      <c r="BK10" s="4">
        <f t="shared" si="15"/>
        <v>-0.93548387096774377</v>
      </c>
      <c r="BL10" s="4">
        <f t="shared" si="36"/>
        <v>0</v>
      </c>
      <c r="BM10" s="2" t="b">
        <f>BL10&lt;=-$BJ$128</f>
        <v>0</v>
      </c>
      <c r="BN10" s="1">
        <v>97</v>
      </c>
      <c r="BO10" s="4">
        <f t="shared" si="16"/>
        <v>2.9032258064516157</v>
      </c>
      <c r="BP10" s="4">
        <f t="shared" si="37"/>
        <v>0</v>
      </c>
      <c r="BQ10" s="2" t="b">
        <f>BP10&lt;=-$BN$128</f>
        <v>0</v>
      </c>
      <c r="BR10" s="1">
        <v>88</v>
      </c>
      <c r="BS10" s="4">
        <f t="shared" si="17"/>
        <v>3.2903225806451672</v>
      </c>
      <c r="BT10" s="4">
        <f t="shared" si="38"/>
        <v>-5.4064711795358873</v>
      </c>
      <c r="BU10" s="2" t="b">
        <f>BT10&lt;=-$BR$128</f>
        <v>0</v>
      </c>
      <c r="BV10" s="1">
        <v>90</v>
      </c>
      <c r="BW10" s="2">
        <f t="shared" si="18"/>
        <v>3.3870967741935516</v>
      </c>
      <c r="BX10" s="4">
        <f t="shared" si="39"/>
        <v>0</v>
      </c>
      <c r="BY10" s="2" t="b">
        <f>BX10&lt;=-$BV$128</f>
        <v>0</v>
      </c>
      <c r="BZ10" s="1">
        <v>91</v>
      </c>
      <c r="CA10" s="2">
        <f t="shared" si="19"/>
        <v>0.93548387096774377</v>
      </c>
      <c r="CB10" s="4">
        <f t="shared" si="40"/>
        <v>-16.282441897071831</v>
      </c>
      <c r="CC10" s="2" t="b">
        <f t="shared" si="20"/>
        <v>0</v>
      </c>
    </row>
    <row r="11" spans="1:81" x14ac:dyDescent="0.2">
      <c r="A11" s="3">
        <v>45848</v>
      </c>
      <c r="B11" s="1">
        <v>93</v>
      </c>
      <c r="C11" s="2">
        <f t="shared" si="0"/>
        <v>1.8064516129032313</v>
      </c>
      <c r="D11" s="4">
        <f t="shared" si="21"/>
        <v>0</v>
      </c>
      <c r="E11" s="2" t="b">
        <f>D11&lt;=-$B$128</f>
        <v>0</v>
      </c>
      <c r="F11" s="1">
        <v>87</v>
      </c>
      <c r="G11" s="4">
        <f t="shared" si="1"/>
        <v>-0.25806451612903913</v>
      </c>
      <c r="H11" s="4">
        <f t="shared" si="22"/>
        <v>-9.2675495794604181</v>
      </c>
      <c r="I11" s="2" t="b">
        <f>H11&lt;=-$F$128</f>
        <v>0</v>
      </c>
      <c r="J11" s="1">
        <v>91</v>
      </c>
      <c r="K11" s="4">
        <f t="shared" si="2"/>
        <v>1.2903225806451672</v>
      </c>
      <c r="L11" s="4">
        <f t="shared" si="23"/>
        <v>0</v>
      </c>
      <c r="M11" s="2" t="b">
        <f>L11&lt;=-$J$128</f>
        <v>0</v>
      </c>
      <c r="N11" s="1">
        <v>87</v>
      </c>
      <c r="O11" s="4">
        <f t="shared" si="3"/>
        <v>-0.64516129032257652</v>
      </c>
      <c r="P11" s="4">
        <f t="shared" si="24"/>
        <v>0</v>
      </c>
      <c r="Q11" s="2" t="b">
        <f>P11&lt;=-$N$128</f>
        <v>0</v>
      </c>
      <c r="R11" s="1">
        <v>99</v>
      </c>
      <c r="S11" s="4">
        <f t="shared" si="4"/>
        <v>7.2580645161290391</v>
      </c>
      <c r="T11" s="4">
        <f t="shared" si="25"/>
        <v>0</v>
      </c>
      <c r="U11" s="2" t="b">
        <f>T11&lt;=-$R$128</f>
        <v>0</v>
      </c>
      <c r="V11" s="1">
        <v>87</v>
      </c>
      <c r="W11" s="4">
        <f t="shared" si="5"/>
        <v>0.25806451612903913</v>
      </c>
      <c r="X11" s="4">
        <f t="shared" si="26"/>
        <v>0</v>
      </c>
      <c r="Y11" s="2" t="b">
        <f>X11&lt;=-$V$128</f>
        <v>0</v>
      </c>
      <c r="Z11" s="1">
        <v>91</v>
      </c>
      <c r="AA11" s="4">
        <f t="shared" si="6"/>
        <v>1.7419354838709609</v>
      </c>
      <c r="AB11" s="4">
        <f t="shared" si="27"/>
        <v>0</v>
      </c>
      <c r="AC11" s="2" t="b">
        <f>AB11&lt;=-$Z$128</f>
        <v>0</v>
      </c>
      <c r="AD11" s="1">
        <v>84</v>
      </c>
      <c r="AE11" s="4">
        <f t="shared" si="7"/>
        <v>-1.5806451612903203</v>
      </c>
      <c r="AF11" s="4">
        <f t="shared" si="28"/>
        <v>0</v>
      </c>
      <c r="AG11" s="2" t="b">
        <f>AF11&lt;=-$AD$128</f>
        <v>0</v>
      </c>
      <c r="AH11" s="1">
        <v>89</v>
      </c>
      <c r="AI11" s="4">
        <f t="shared" si="8"/>
        <v>1.1612903225806406</v>
      </c>
      <c r="AJ11" s="4">
        <f t="shared" si="29"/>
        <v>0</v>
      </c>
      <c r="AK11" s="2" t="b">
        <f>AJ11&lt;=-$AH$128</f>
        <v>0</v>
      </c>
      <c r="AL11" s="1">
        <v>78</v>
      </c>
      <c r="AM11" s="4">
        <f t="shared" si="9"/>
        <v>-8.9354838709677438</v>
      </c>
      <c r="AN11" s="4">
        <f t="shared" si="30"/>
        <v>-10.667282285775046</v>
      </c>
      <c r="AO11" s="2" t="b">
        <f>AN11&lt;=-$AL$128</f>
        <v>0</v>
      </c>
      <c r="AP11" s="1">
        <v>84</v>
      </c>
      <c r="AQ11" s="4">
        <f t="shared" si="10"/>
        <v>-6.1935483870967687</v>
      </c>
      <c r="AR11" s="4">
        <f t="shared" si="31"/>
        <v>-29.372551304063897</v>
      </c>
      <c r="AS11" s="2" t="b">
        <f>AR11&lt;=-$AP$128</f>
        <v>1</v>
      </c>
      <c r="AT11" s="1">
        <v>86</v>
      </c>
      <c r="AU11" s="4">
        <f t="shared" si="11"/>
        <v>-0.41935483870967971</v>
      </c>
      <c r="AV11" s="4">
        <f t="shared" si="32"/>
        <v>0</v>
      </c>
      <c r="AW11" s="2" t="b">
        <f>AV11&lt;=-$AT$128</f>
        <v>0</v>
      </c>
      <c r="AX11" s="1">
        <v>87</v>
      </c>
      <c r="AY11" s="4">
        <f t="shared" si="12"/>
        <v>-2.1612903225806406</v>
      </c>
      <c r="AZ11" s="4">
        <f t="shared" si="33"/>
        <v>-2.9417844021799864</v>
      </c>
      <c r="BA11" s="2" t="b">
        <f>AZ11&lt;=-$AX$128</f>
        <v>0</v>
      </c>
      <c r="BB11" s="1">
        <v>84</v>
      </c>
      <c r="BC11" s="4">
        <f t="shared" si="13"/>
        <v>-2.6451612903225765</v>
      </c>
      <c r="BD11" s="4">
        <f t="shared" si="34"/>
        <v>-5.7926541402150029</v>
      </c>
      <c r="BE11" s="2" t="b">
        <f>BD11&lt;=-$BB$128</f>
        <v>0</v>
      </c>
      <c r="BF11" s="1">
        <v>90</v>
      </c>
      <c r="BG11" s="4">
        <f t="shared" si="14"/>
        <v>-1.2580645161290391</v>
      </c>
      <c r="BH11" s="4">
        <f t="shared" si="35"/>
        <v>0</v>
      </c>
      <c r="BI11" s="2" t="b">
        <f>BH11&lt;=-$BF$128</f>
        <v>0</v>
      </c>
      <c r="BJ11" s="1">
        <v>92</v>
      </c>
      <c r="BK11" s="4">
        <f t="shared" si="15"/>
        <v>6.4516129032256231E-2</v>
      </c>
      <c r="BL11" s="4">
        <f t="shared" si="36"/>
        <v>0</v>
      </c>
      <c r="BM11" s="2" t="b">
        <f>BL11&lt;=-$BJ$128</f>
        <v>0</v>
      </c>
      <c r="BN11" s="1">
        <v>95</v>
      </c>
      <c r="BO11" s="4">
        <f t="shared" si="16"/>
        <v>0.90322580645161565</v>
      </c>
      <c r="BP11" s="4">
        <f t="shared" si="37"/>
        <v>0</v>
      </c>
      <c r="BQ11" s="2" t="b">
        <f>BP11&lt;=-$BN$128</f>
        <v>0</v>
      </c>
      <c r="BR11" s="1">
        <v>87</v>
      </c>
      <c r="BS11" s="4">
        <f t="shared" si="17"/>
        <v>2.2903225806451672</v>
      </c>
      <c r="BT11" s="4">
        <f t="shared" si="38"/>
        <v>-1.1788242051838707</v>
      </c>
      <c r="BU11" s="2" t="b">
        <f>BT11&lt;=-$BR$128</f>
        <v>0</v>
      </c>
      <c r="BV11" s="1">
        <v>87</v>
      </c>
      <c r="BW11" s="2">
        <f t="shared" si="18"/>
        <v>0.3870967741935516</v>
      </c>
      <c r="BX11" s="4">
        <f t="shared" si="39"/>
        <v>0</v>
      </c>
      <c r="BY11" s="2" t="b">
        <f>BX11&lt;=-$BV$128</f>
        <v>0</v>
      </c>
      <c r="BZ11" s="1">
        <v>93</v>
      </c>
      <c r="CA11" s="2">
        <f t="shared" si="19"/>
        <v>2.9354838709677438</v>
      </c>
      <c r="CB11" s="4">
        <f t="shared" si="40"/>
        <v>-11.567747134205808</v>
      </c>
      <c r="CC11" s="2" t="b">
        <f t="shared" si="20"/>
        <v>0</v>
      </c>
    </row>
    <row r="12" spans="1:81" x14ac:dyDescent="0.2">
      <c r="A12" s="3">
        <v>45849</v>
      </c>
      <c r="B12" s="1">
        <v>90</v>
      </c>
      <c r="C12" s="2">
        <f t="shared" si="0"/>
        <v>-1.1935483870967687</v>
      </c>
      <c r="D12" s="4">
        <f t="shared" si="21"/>
        <v>0</v>
      </c>
      <c r="E12" s="2" t="b">
        <f>D12&lt;=-$B$128</f>
        <v>0</v>
      </c>
      <c r="F12" s="1">
        <v>84</v>
      </c>
      <c r="G12" s="4">
        <f t="shared" si="1"/>
        <v>-3.2580645161290391</v>
      </c>
      <c r="H12" s="4">
        <f t="shared" si="22"/>
        <v>-10.312141176037155</v>
      </c>
      <c r="I12" s="2" t="b">
        <f>H12&lt;=-$F$128</f>
        <v>0</v>
      </c>
      <c r="J12" s="1">
        <v>91</v>
      </c>
      <c r="K12" s="4">
        <f t="shared" si="2"/>
        <v>1.2903225806451672</v>
      </c>
      <c r="L12" s="4">
        <f t="shared" si="23"/>
        <v>0</v>
      </c>
      <c r="M12" s="2" t="b">
        <f>L12&lt;=-$J$128</f>
        <v>0</v>
      </c>
      <c r="N12" s="1">
        <v>82</v>
      </c>
      <c r="O12" s="4">
        <f t="shared" si="3"/>
        <v>-5.6451612903225765</v>
      </c>
      <c r="P12" s="4">
        <f t="shared" si="24"/>
        <v>-2.753943590987876</v>
      </c>
      <c r="Q12" s="2" t="b">
        <f>P12&lt;=-$N$128</f>
        <v>0</v>
      </c>
      <c r="R12" s="1">
        <v>96</v>
      </c>
      <c r="S12" s="4">
        <f t="shared" si="4"/>
        <v>4.2580645161290391</v>
      </c>
      <c r="T12" s="4">
        <f t="shared" si="25"/>
        <v>0</v>
      </c>
      <c r="U12" s="2" t="b">
        <f>T12&lt;=-$R$128</f>
        <v>0</v>
      </c>
      <c r="V12" s="1">
        <v>90</v>
      </c>
      <c r="W12" s="4">
        <f t="shared" si="5"/>
        <v>3.2580645161290391</v>
      </c>
      <c r="X12" s="4">
        <f t="shared" si="26"/>
        <v>0</v>
      </c>
      <c r="Y12" s="2" t="b">
        <f>X12&lt;=-$V$128</f>
        <v>0</v>
      </c>
      <c r="Z12" s="1">
        <v>84</v>
      </c>
      <c r="AA12" s="4">
        <f t="shared" si="6"/>
        <v>-5.2580645161290391</v>
      </c>
      <c r="AB12" s="4">
        <f t="shared" si="27"/>
        <v>-3.3873795171002357</v>
      </c>
      <c r="AC12" s="2" t="b">
        <f>AB12&lt;=-$Z$128</f>
        <v>0</v>
      </c>
      <c r="AD12" s="1">
        <v>84</v>
      </c>
      <c r="AE12" s="4">
        <f t="shared" si="7"/>
        <v>-1.5806451612903203</v>
      </c>
      <c r="AF12" s="4">
        <f t="shared" si="28"/>
        <v>0</v>
      </c>
      <c r="AG12" s="2" t="b">
        <f>AF12&lt;=-$AD$128</f>
        <v>0</v>
      </c>
      <c r="AH12" s="1">
        <v>90</v>
      </c>
      <c r="AI12" s="4">
        <f t="shared" si="8"/>
        <v>2.1612903225806406</v>
      </c>
      <c r="AJ12" s="4">
        <f t="shared" si="29"/>
        <v>0</v>
      </c>
      <c r="AK12" s="2" t="b">
        <f>AJ12&lt;=-$AH$128</f>
        <v>0</v>
      </c>
      <c r="AL12" s="1">
        <v>83</v>
      </c>
      <c r="AM12" s="4">
        <f t="shared" si="9"/>
        <v>-3.9354838709677438</v>
      </c>
      <c r="AN12" s="4">
        <f t="shared" si="30"/>
        <v>-12.400738742930056</v>
      </c>
      <c r="AO12" s="2" t="b">
        <f>AN12&lt;=-$AL$128</f>
        <v>0</v>
      </c>
      <c r="AP12" s="1">
        <v>90</v>
      </c>
      <c r="AQ12" s="4">
        <f t="shared" si="10"/>
        <v>-0.19354838709676869</v>
      </c>
      <c r="AR12" s="4">
        <f t="shared" si="31"/>
        <v>-27.447061564876677</v>
      </c>
      <c r="AS12" s="2" t="b">
        <f>AR12&lt;=-$AP$128</f>
        <v>1</v>
      </c>
      <c r="AT12" s="1">
        <v>85</v>
      </c>
      <c r="AU12" s="4">
        <f t="shared" si="11"/>
        <v>-1.4193548387096797</v>
      </c>
      <c r="AV12" s="4">
        <f t="shared" si="32"/>
        <v>0</v>
      </c>
      <c r="AW12" s="2" t="b">
        <f>AV12&lt;=-$AT$128</f>
        <v>0</v>
      </c>
      <c r="AX12" s="1">
        <v>89</v>
      </c>
      <c r="AY12" s="4">
        <f t="shared" si="12"/>
        <v>-0.16129032258064058</v>
      </c>
      <c r="AZ12" s="4">
        <f t="shared" si="33"/>
        <v>-1.7301412826159837</v>
      </c>
      <c r="BA12" s="2" t="b">
        <f>AZ12&lt;=-$AX$128</f>
        <v>0</v>
      </c>
      <c r="BB12" s="1">
        <v>86</v>
      </c>
      <c r="BC12" s="4">
        <f t="shared" si="13"/>
        <v>-0.64516129032257652</v>
      </c>
      <c r="BD12" s="4">
        <f t="shared" si="34"/>
        <v>-4.5914298302508367</v>
      </c>
      <c r="BE12" s="2" t="b">
        <f>BD12&lt;=-$BB$128</f>
        <v>0</v>
      </c>
      <c r="BF12" s="1">
        <v>93</v>
      </c>
      <c r="BG12" s="4">
        <f t="shared" si="14"/>
        <v>1.7419354838709609</v>
      </c>
      <c r="BH12" s="4">
        <f t="shared" si="35"/>
        <v>0</v>
      </c>
      <c r="BI12" s="2" t="b">
        <f>BH12&lt;=-$BF$128</f>
        <v>0</v>
      </c>
      <c r="BJ12" s="1">
        <v>95</v>
      </c>
      <c r="BK12" s="4">
        <f t="shared" si="15"/>
        <v>3.0645161290322562</v>
      </c>
      <c r="BL12" s="4">
        <f t="shared" si="36"/>
        <v>0</v>
      </c>
      <c r="BM12" s="2" t="b">
        <f>BL12&lt;=-$BJ$128</f>
        <v>0</v>
      </c>
      <c r="BN12" s="1">
        <v>90</v>
      </c>
      <c r="BO12" s="4">
        <f t="shared" si="16"/>
        <v>-4.0967741935483843</v>
      </c>
      <c r="BP12" s="4">
        <f t="shared" si="37"/>
        <v>-1.8041961733940814</v>
      </c>
      <c r="BQ12" s="2" t="b">
        <f>BP12&lt;=-$BN$128</f>
        <v>0</v>
      </c>
      <c r="BR12" s="1">
        <v>80</v>
      </c>
      <c r="BS12" s="4">
        <f t="shared" si="17"/>
        <v>-4.7096774193548328</v>
      </c>
      <c r="BT12" s="4">
        <f t="shared" si="38"/>
        <v>-3.9511772308318536</v>
      </c>
      <c r="BU12" s="2" t="b">
        <f>BT12&lt;=-$BR$128</f>
        <v>0</v>
      </c>
      <c r="BV12" s="1">
        <v>85</v>
      </c>
      <c r="BW12" s="2">
        <f t="shared" si="18"/>
        <v>-1.6129032258064484</v>
      </c>
      <c r="BX12" s="4">
        <f t="shared" si="39"/>
        <v>0</v>
      </c>
      <c r="BY12" s="2" t="b">
        <f>BX12&lt;=-$BV$128</f>
        <v>0</v>
      </c>
      <c r="BZ12" s="1">
        <v>92</v>
      </c>
      <c r="CA12" s="2">
        <f t="shared" si="19"/>
        <v>1.9354838709677438</v>
      </c>
      <c r="CB12" s="4">
        <f t="shared" si="40"/>
        <v>-7.8530523713397855</v>
      </c>
      <c r="CC12" s="2" t="b">
        <f t="shared" si="20"/>
        <v>0</v>
      </c>
    </row>
    <row r="13" spans="1:81" x14ac:dyDescent="0.2">
      <c r="A13" s="3">
        <v>45850</v>
      </c>
      <c r="B13" s="1">
        <v>91</v>
      </c>
      <c r="C13" s="2">
        <f t="shared" si="0"/>
        <v>-0.19354838709676869</v>
      </c>
      <c r="D13" s="4">
        <f t="shared" si="21"/>
        <v>0</v>
      </c>
      <c r="E13" s="2" t="b">
        <f>D13&lt;=-$B$128</f>
        <v>0</v>
      </c>
      <c r="F13" s="1">
        <v>88</v>
      </c>
      <c r="G13" s="4">
        <f t="shared" si="1"/>
        <v>0.74193548387096087</v>
      </c>
      <c r="H13" s="4">
        <f t="shared" si="22"/>
        <v>-7.3567327726138911</v>
      </c>
      <c r="I13" s="2" t="b">
        <f>H13&lt;=-$F$128</f>
        <v>0</v>
      </c>
      <c r="J13" s="1">
        <v>86</v>
      </c>
      <c r="K13" s="4">
        <f t="shared" si="2"/>
        <v>-3.7096774193548328</v>
      </c>
      <c r="L13" s="4">
        <f t="shared" si="23"/>
        <v>-2.1865580960192381</v>
      </c>
      <c r="M13" s="2" t="b">
        <f>L13&lt;=-$J$128</f>
        <v>0</v>
      </c>
      <c r="N13" s="1">
        <v>77</v>
      </c>
      <c r="O13" s="4">
        <f t="shared" si="3"/>
        <v>-10.645161290322577</v>
      </c>
      <c r="P13" s="4">
        <f t="shared" si="24"/>
        <v>-10.507887181975754</v>
      </c>
      <c r="Q13" s="2" t="b">
        <f>P13&lt;=-$N$128</f>
        <v>0</v>
      </c>
      <c r="R13" s="1">
        <v>93</v>
      </c>
      <c r="S13" s="4">
        <f t="shared" si="4"/>
        <v>1.2580645161290391</v>
      </c>
      <c r="T13" s="4">
        <f t="shared" si="25"/>
        <v>0</v>
      </c>
      <c r="U13" s="2" t="b">
        <f>T13&lt;=-$R$128</f>
        <v>0</v>
      </c>
      <c r="V13" s="1">
        <v>90</v>
      </c>
      <c r="W13" s="4">
        <f t="shared" si="5"/>
        <v>3.2580645161290391</v>
      </c>
      <c r="X13" s="4">
        <f t="shared" si="26"/>
        <v>0</v>
      </c>
      <c r="Y13" s="2" t="b">
        <f>X13&lt;=-$V$128</f>
        <v>0</v>
      </c>
      <c r="Z13" s="1">
        <v>77</v>
      </c>
      <c r="AA13" s="4">
        <f t="shared" si="6"/>
        <v>-12.258064516129039</v>
      </c>
      <c r="AB13" s="4">
        <f t="shared" si="27"/>
        <v>-13.774759034200471</v>
      </c>
      <c r="AC13" s="2" t="b">
        <f>AB13&lt;=-$Z$128</f>
        <v>0</v>
      </c>
      <c r="AD13" s="1">
        <v>86</v>
      </c>
      <c r="AE13" s="4">
        <f t="shared" si="7"/>
        <v>0.41935483870967971</v>
      </c>
      <c r="AF13" s="4">
        <f t="shared" si="28"/>
        <v>0</v>
      </c>
      <c r="AG13" s="2" t="b">
        <f>AF13&lt;=-$AD$128</f>
        <v>0</v>
      </c>
      <c r="AH13" s="1">
        <v>89</v>
      </c>
      <c r="AI13" s="4">
        <f t="shared" si="8"/>
        <v>1.1612903225806406</v>
      </c>
      <c r="AJ13" s="4">
        <f t="shared" si="29"/>
        <v>0</v>
      </c>
      <c r="AK13" s="2" t="b">
        <f>AJ13&lt;=-$AH$128</f>
        <v>0</v>
      </c>
      <c r="AL13" s="1">
        <v>86</v>
      </c>
      <c r="AM13" s="4">
        <f t="shared" si="9"/>
        <v>-0.93548387096774377</v>
      </c>
      <c r="AN13" s="4">
        <f t="shared" si="30"/>
        <v>-11.134195200085065</v>
      </c>
      <c r="AO13" s="2" t="b">
        <f>AN13&lt;=-$AL$128</f>
        <v>0</v>
      </c>
      <c r="AP13" s="1">
        <v>91</v>
      </c>
      <c r="AQ13" s="4">
        <f t="shared" si="10"/>
        <v>0.80645161290323131</v>
      </c>
      <c r="AR13" s="4">
        <f t="shared" si="31"/>
        <v>-24.521571825689456</v>
      </c>
      <c r="AS13" s="2" t="b">
        <f>AR13&lt;=-$AP$128</f>
        <v>1</v>
      </c>
      <c r="AT13" s="1">
        <v>87</v>
      </c>
      <c r="AU13" s="4">
        <f t="shared" si="11"/>
        <v>0.58064516129032029</v>
      </c>
      <c r="AV13" s="4">
        <f t="shared" si="32"/>
        <v>0</v>
      </c>
      <c r="AW13" s="2" t="b">
        <f>AV13&lt;=-$AT$128</f>
        <v>0</v>
      </c>
      <c r="AX13" s="1">
        <v>93</v>
      </c>
      <c r="AY13" s="4">
        <f t="shared" si="12"/>
        <v>3.8387096774193594</v>
      </c>
      <c r="AZ13" s="4">
        <f t="shared" si="33"/>
        <v>0</v>
      </c>
      <c r="BA13" s="2" t="b">
        <f>AZ13&lt;=-$AX$128</f>
        <v>0</v>
      </c>
      <c r="BB13" s="1">
        <v>90</v>
      </c>
      <c r="BC13" s="4">
        <f t="shared" si="13"/>
        <v>3.3548387096774235</v>
      </c>
      <c r="BD13" s="4">
        <f t="shared" si="34"/>
        <v>0</v>
      </c>
      <c r="BE13" s="2" t="b">
        <f>BD13&lt;=-$BB$128</f>
        <v>0</v>
      </c>
      <c r="BF13" s="1">
        <v>90</v>
      </c>
      <c r="BG13" s="4">
        <f t="shared" si="14"/>
        <v>-1.2580645161290391</v>
      </c>
      <c r="BH13" s="4">
        <f t="shared" si="35"/>
        <v>0</v>
      </c>
      <c r="BI13" s="2" t="b">
        <f>BH13&lt;=-$BF$128</f>
        <v>0</v>
      </c>
      <c r="BJ13" s="1">
        <v>95</v>
      </c>
      <c r="BK13" s="4">
        <f t="shared" si="15"/>
        <v>3.0645161290322562</v>
      </c>
      <c r="BL13" s="4">
        <f t="shared" si="36"/>
        <v>0</v>
      </c>
      <c r="BM13" s="2" t="b">
        <f>BL13&lt;=-$BJ$128</f>
        <v>0</v>
      </c>
      <c r="BN13" s="1">
        <v>84</v>
      </c>
      <c r="BO13" s="4">
        <f t="shared" si="16"/>
        <v>-10.096774193548384</v>
      </c>
      <c r="BP13" s="4">
        <f t="shared" si="37"/>
        <v>-9.6083923467881647</v>
      </c>
      <c r="BQ13" s="2" t="b">
        <f>BP13&lt;=-$BN$128</f>
        <v>0</v>
      </c>
      <c r="BR13" s="1">
        <v>87</v>
      </c>
      <c r="BS13" s="4">
        <f t="shared" si="17"/>
        <v>2.2903225806451672</v>
      </c>
      <c r="BT13" s="4">
        <f t="shared" si="38"/>
        <v>0</v>
      </c>
      <c r="BU13" s="2" t="b">
        <f>BT13&lt;=-$BR$128</f>
        <v>0</v>
      </c>
      <c r="BV13" s="1">
        <v>90</v>
      </c>
      <c r="BW13" s="2">
        <f t="shared" si="18"/>
        <v>3.3870967741935516</v>
      </c>
      <c r="BX13" s="4">
        <f t="shared" si="39"/>
        <v>0</v>
      </c>
      <c r="BY13" s="2" t="b">
        <f>BX13&lt;=-$BV$128</f>
        <v>0</v>
      </c>
      <c r="BZ13" s="1">
        <v>93</v>
      </c>
      <c r="CA13" s="2">
        <f t="shared" si="19"/>
        <v>2.9354838709677438</v>
      </c>
      <c r="CB13" s="4">
        <f t="shared" si="40"/>
        <v>-3.1383576084737634</v>
      </c>
      <c r="CC13" s="2" t="b">
        <f t="shared" si="20"/>
        <v>0</v>
      </c>
    </row>
    <row r="14" spans="1:81" x14ac:dyDescent="0.2">
      <c r="A14" s="3">
        <v>45851</v>
      </c>
      <c r="B14" s="1">
        <v>93</v>
      </c>
      <c r="C14" s="2">
        <f t="shared" si="0"/>
        <v>1.8064516129032313</v>
      </c>
      <c r="D14" s="4">
        <f t="shared" si="21"/>
        <v>0</v>
      </c>
      <c r="E14" s="2" t="b">
        <f>D14&lt;=-$B$128</f>
        <v>0</v>
      </c>
      <c r="F14" s="1">
        <v>86</v>
      </c>
      <c r="G14" s="4">
        <f t="shared" si="1"/>
        <v>-1.2580645161290391</v>
      </c>
      <c r="H14" s="4">
        <f t="shared" si="22"/>
        <v>-6.4013243691906281</v>
      </c>
      <c r="I14" s="2" t="b">
        <f>H14&lt;=-$F$128</f>
        <v>0</v>
      </c>
      <c r="J14" s="1">
        <v>88</v>
      </c>
      <c r="K14" s="4">
        <f t="shared" si="2"/>
        <v>-1.7096774193548328</v>
      </c>
      <c r="L14" s="4">
        <f t="shared" si="23"/>
        <v>-2.3731161920384762</v>
      </c>
      <c r="M14" s="2" t="b">
        <f>L14&lt;=-$J$128</f>
        <v>0</v>
      </c>
      <c r="N14" s="1">
        <v>73</v>
      </c>
      <c r="O14" s="4">
        <f t="shared" si="3"/>
        <v>-14.645161290322577</v>
      </c>
      <c r="P14" s="4">
        <f t="shared" si="24"/>
        <v>-22.261830772963631</v>
      </c>
      <c r="Q14" s="2" t="b">
        <f>P14&lt;=-$N$128</f>
        <v>0</v>
      </c>
      <c r="R14" s="1">
        <v>91</v>
      </c>
      <c r="S14" s="4">
        <f t="shared" si="4"/>
        <v>-0.74193548387096087</v>
      </c>
      <c r="T14" s="4">
        <f t="shared" si="25"/>
        <v>0</v>
      </c>
      <c r="U14" s="2" t="b">
        <f>T14&lt;=-$R$128</f>
        <v>0</v>
      </c>
      <c r="V14" s="1">
        <v>86</v>
      </c>
      <c r="W14" s="4">
        <f t="shared" si="5"/>
        <v>-0.74193548387096087</v>
      </c>
      <c r="X14" s="4">
        <f t="shared" si="26"/>
        <v>0</v>
      </c>
      <c r="Y14" s="2" t="b">
        <f>X14&lt;=-$V$128</f>
        <v>0</v>
      </c>
      <c r="Z14" s="1">
        <v>82</v>
      </c>
      <c r="AA14" s="4">
        <f t="shared" si="6"/>
        <v>-7.2580645161290391</v>
      </c>
      <c r="AB14" s="4">
        <f t="shared" si="27"/>
        <v>-19.162138551300707</v>
      </c>
      <c r="AC14" s="2" t="b">
        <f>AB14&lt;=-$Z$128</f>
        <v>1</v>
      </c>
      <c r="AD14" s="1">
        <v>87</v>
      </c>
      <c r="AE14" s="4">
        <f t="shared" si="7"/>
        <v>1.4193548387096797</v>
      </c>
      <c r="AF14" s="4">
        <f t="shared" si="28"/>
        <v>0</v>
      </c>
      <c r="AG14" s="2" t="b">
        <f>AF14&lt;=-$AD$128</f>
        <v>0</v>
      </c>
      <c r="AH14" s="1">
        <v>91</v>
      </c>
      <c r="AI14" s="4">
        <f t="shared" si="8"/>
        <v>3.1612903225806406</v>
      </c>
      <c r="AJ14" s="4">
        <f t="shared" si="29"/>
        <v>0</v>
      </c>
      <c r="AK14" s="2" t="b">
        <f>AJ14&lt;=-$AH$128</f>
        <v>0</v>
      </c>
      <c r="AL14" s="1">
        <v>84</v>
      </c>
      <c r="AM14" s="4">
        <f t="shared" si="9"/>
        <v>-2.9354838709677438</v>
      </c>
      <c r="AN14" s="4">
        <f t="shared" si="30"/>
        <v>-11.867651657240074</v>
      </c>
      <c r="AO14" s="2" t="b">
        <f>AN14&lt;=-$AL$128</f>
        <v>0</v>
      </c>
      <c r="AP14" s="1">
        <v>91</v>
      </c>
      <c r="AQ14" s="4">
        <f t="shared" si="10"/>
        <v>0.80645161290323131</v>
      </c>
      <c r="AR14" s="4">
        <f t="shared" si="31"/>
        <v>-21.596082086502236</v>
      </c>
      <c r="AS14" s="2" t="b">
        <f>AR14&lt;=-$AP$128</f>
        <v>1</v>
      </c>
      <c r="AT14" s="1">
        <v>86</v>
      </c>
      <c r="AU14" s="4">
        <f t="shared" si="11"/>
        <v>-0.41935483870967971</v>
      </c>
      <c r="AV14" s="4">
        <f t="shared" si="32"/>
        <v>0</v>
      </c>
      <c r="AW14" s="2" t="b">
        <f>AV14&lt;=-$AT$128</f>
        <v>0</v>
      </c>
      <c r="AX14" s="1">
        <v>85</v>
      </c>
      <c r="AY14" s="4">
        <f t="shared" si="12"/>
        <v>-4.1612903225806406</v>
      </c>
      <c r="AZ14" s="4">
        <f t="shared" si="33"/>
        <v>-2.7883568804359973</v>
      </c>
      <c r="BA14" s="2" t="b">
        <f>AZ14&lt;=-$AX$128</f>
        <v>0</v>
      </c>
      <c r="BB14" s="1">
        <v>84</v>
      </c>
      <c r="BC14" s="4">
        <f t="shared" si="13"/>
        <v>-2.6451612903225765</v>
      </c>
      <c r="BD14" s="4">
        <f t="shared" si="34"/>
        <v>-0.79877569003583382</v>
      </c>
      <c r="BE14" s="2" t="b">
        <f>BD14&lt;=-$BB$128</f>
        <v>0</v>
      </c>
      <c r="BF14" s="1">
        <v>91</v>
      </c>
      <c r="BG14" s="4">
        <f t="shared" si="14"/>
        <v>-0.25806451612903913</v>
      </c>
      <c r="BH14" s="4">
        <f t="shared" si="35"/>
        <v>0</v>
      </c>
      <c r="BI14" s="2" t="b">
        <f>BH14&lt;=-$BF$128</f>
        <v>0</v>
      </c>
      <c r="BJ14" s="1">
        <v>97</v>
      </c>
      <c r="BK14" s="4">
        <f t="shared" si="15"/>
        <v>5.0645161290322562</v>
      </c>
      <c r="BL14" s="4">
        <f t="shared" si="36"/>
        <v>0</v>
      </c>
      <c r="BM14" s="2" t="b">
        <f>BL14&lt;=-$BJ$128</f>
        <v>0</v>
      </c>
      <c r="BN14" s="1">
        <v>90</v>
      </c>
      <c r="BO14" s="4">
        <f t="shared" si="16"/>
        <v>-4.0967741935483843</v>
      </c>
      <c r="BP14" s="4">
        <f t="shared" si="37"/>
        <v>-11.412588520182247</v>
      </c>
      <c r="BQ14" s="2" t="b">
        <f>BP14&lt;=-$BN$128</f>
        <v>0</v>
      </c>
      <c r="BR14" s="1">
        <v>78</v>
      </c>
      <c r="BS14" s="4">
        <f t="shared" si="17"/>
        <v>-6.7096774193548328</v>
      </c>
      <c r="BT14" s="4">
        <f t="shared" si="38"/>
        <v>-4.7723530256479831</v>
      </c>
      <c r="BU14" s="2" t="b">
        <f>BT14&lt;=-$BR$128</f>
        <v>0</v>
      </c>
      <c r="BV14" s="1">
        <v>89</v>
      </c>
      <c r="BW14" s="2">
        <f t="shared" si="18"/>
        <v>2.3870967741935516</v>
      </c>
      <c r="BX14" s="4">
        <f t="shared" si="39"/>
        <v>0</v>
      </c>
      <c r="BY14" s="2" t="b">
        <f>BX14&lt;=-$BV$128</f>
        <v>0</v>
      </c>
      <c r="BZ14" s="1">
        <v>92</v>
      </c>
      <c r="CA14" s="2">
        <f t="shared" si="19"/>
        <v>1.9354838709677438</v>
      </c>
      <c r="CB14" s="4">
        <f t="shared" si="40"/>
        <v>0</v>
      </c>
      <c r="CC14" s="2" t="b">
        <f t="shared" si="20"/>
        <v>0</v>
      </c>
    </row>
    <row r="15" spans="1:81" x14ac:dyDescent="0.2">
      <c r="A15" s="3">
        <v>45852</v>
      </c>
      <c r="B15" s="1">
        <v>93</v>
      </c>
      <c r="C15" s="2">
        <f t="shared" si="0"/>
        <v>1.8064516129032313</v>
      </c>
      <c r="D15" s="4">
        <f t="shared" si="21"/>
        <v>0</v>
      </c>
      <c r="E15" s="2" t="b">
        <f>D15&lt;=-$B$128</f>
        <v>0</v>
      </c>
      <c r="F15" s="1">
        <v>90</v>
      </c>
      <c r="G15" s="4">
        <f t="shared" si="1"/>
        <v>2.7419354838709609</v>
      </c>
      <c r="H15" s="4">
        <f t="shared" si="22"/>
        <v>-1.4459159657673641</v>
      </c>
      <c r="I15" s="2" t="b">
        <f>H15&lt;=-$F$128</f>
        <v>0</v>
      </c>
      <c r="J15" s="1">
        <v>87</v>
      </c>
      <c r="K15" s="4">
        <f t="shared" si="2"/>
        <v>-2.7096774193548328</v>
      </c>
      <c r="L15" s="4">
        <f t="shared" si="23"/>
        <v>-3.5596742880577144</v>
      </c>
      <c r="M15" s="2" t="b">
        <f>L15&lt;=-$J$128</f>
        <v>0</v>
      </c>
      <c r="N15" s="1">
        <v>81</v>
      </c>
      <c r="O15" s="4">
        <f t="shared" si="3"/>
        <v>-6.6451612903225765</v>
      </c>
      <c r="P15" s="4">
        <f t="shared" si="24"/>
        <v>-26.015774363951508</v>
      </c>
      <c r="Q15" s="2" t="b">
        <f>P15&lt;=-$N$128</f>
        <v>0</v>
      </c>
      <c r="R15" s="1">
        <v>93</v>
      </c>
      <c r="S15" s="4">
        <f t="shared" si="4"/>
        <v>1.2580645161290391</v>
      </c>
      <c r="T15" s="4">
        <f t="shared" si="25"/>
        <v>0</v>
      </c>
      <c r="U15" s="2" t="b">
        <f>T15&lt;=-$R$128</f>
        <v>0</v>
      </c>
      <c r="V15" s="1">
        <v>82</v>
      </c>
      <c r="W15" s="4">
        <f t="shared" si="5"/>
        <v>-4.7419354838709609</v>
      </c>
      <c r="X15" s="4">
        <f t="shared" si="26"/>
        <v>-3.4383011925179758</v>
      </c>
      <c r="Y15" s="2" t="b">
        <f>X15&lt;=-$V$128</f>
        <v>0</v>
      </c>
      <c r="Z15" s="1">
        <v>88</v>
      </c>
      <c r="AA15" s="4">
        <f t="shared" si="6"/>
        <v>-1.2580645161290391</v>
      </c>
      <c r="AB15" s="4">
        <f t="shared" si="27"/>
        <v>-18.549518068400943</v>
      </c>
      <c r="AC15" s="2" t="b">
        <f>AB15&lt;=-$Z$128</f>
        <v>0</v>
      </c>
      <c r="AD15" s="1">
        <v>84</v>
      </c>
      <c r="AE15" s="4">
        <f t="shared" si="7"/>
        <v>-1.5806451612903203</v>
      </c>
      <c r="AF15" s="4">
        <f t="shared" si="28"/>
        <v>0</v>
      </c>
      <c r="AG15" s="2" t="b">
        <f>AF15&lt;=-$AD$128</f>
        <v>0</v>
      </c>
      <c r="AH15" s="1">
        <v>91</v>
      </c>
      <c r="AI15" s="4">
        <f t="shared" si="8"/>
        <v>3.1612903225806406</v>
      </c>
      <c r="AJ15" s="4">
        <f t="shared" si="29"/>
        <v>0</v>
      </c>
      <c r="AK15" s="2" t="b">
        <f>AJ15&lt;=-$AH$128</f>
        <v>0</v>
      </c>
      <c r="AL15" s="1">
        <v>87</v>
      </c>
      <c r="AM15" s="4">
        <f t="shared" si="9"/>
        <v>6.4516129032256231E-2</v>
      </c>
      <c r="AN15" s="4">
        <f t="shared" si="30"/>
        <v>-9.6011081143950836</v>
      </c>
      <c r="AO15" s="2" t="b">
        <f>AN15&lt;=-$AL$128</f>
        <v>0</v>
      </c>
      <c r="AP15" s="1">
        <v>91</v>
      </c>
      <c r="AQ15" s="4">
        <f t="shared" si="10"/>
        <v>0.80645161290323131</v>
      </c>
      <c r="AR15" s="4">
        <f t="shared" si="31"/>
        <v>-18.670592347315015</v>
      </c>
      <c r="AS15" s="2" t="b">
        <f>AR15&lt;=-$AP$128</f>
        <v>0</v>
      </c>
      <c r="AT15" s="1">
        <v>84</v>
      </c>
      <c r="AU15" s="4">
        <f t="shared" si="11"/>
        <v>-2.4193548387096797</v>
      </c>
      <c r="AV15" s="4">
        <f t="shared" si="32"/>
        <v>-0.74218364118497537</v>
      </c>
      <c r="AW15" s="2" t="b">
        <f>AV15&lt;=-$AT$128</f>
        <v>0</v>
      </c>
      <c r="AX15" s="1">
        <v>88</v>
      </c>
      <c r="AY15" s="4">
        <f t="shared" si="12"/>
        <v>-1.1612903225806406</v>
      </c>
      <c r="AZ15" s="4">
        <f t="shared" si="33"/>
        <v>-2.5767137608719946</v>
      </c>
      <c r="BA15" s="2" t="b">
        <f>AZ15&lt;=-$AX$128</f>
        <v>0</v>
      </c>
      <c r="BB15" s="1">
        <v>89</v>
      </c>
      <c r="BC15" s="4">
        <f t="shared" si="13"/>
        <v>2.3548387096774235</v>
      </c>
      <c r="BD15" s="4">
        <f t="shared" si="34"/>
        <v>0</v>
      </c>
      <c r="BE15" s="2" t="b">
        <f>BD15&lt;=-$BB$128</f>
        <v>0</v>
      </c>
      <c r="BF15" s="1">
        <v>91</v>
      </c>
      <c r="BG15" s="4">
        <f t="shared" si="14"/>
        <v>-0.25806451612903913</v>
      </c>
      <c r="BH15" s="4">
        <f t="shared" si="35"/>
        <v>0</v>
      </c>
      <c r="BI15" s="2" t="b">
        <f>BH15&lt;=-$BF$128</f>
        <v>0</v>
      </c>
      <c r="BJ15" s="1">
        <v>90</v>
      </c>
      <c r="BK15" s="4">
        <f t="shared" si="15"/>
        <v>-1.9354838709677438</v>
      </c>
      <c r="BL15" s="4">
        <f t="shared" si="36"/>
        <v>-0.19893804725635511</v>
      </c>
      <c r="BM15" s="2" t="b">
        <f>BL15&lt;=-$BJ$128</f>
        <v>0</v>
      </c>
      <c r="BN15" s="1">
        <v>90</v>
      </c>
      <c r="BO15" s="4">
        <f t="shared" si="16"/>
        <v>-4.0967741935483843</v>
      </c>
      <c r="BP15" s="4">
        <f t="shared" si="37"/>
        <v>-13.216784693576329</v>
      </c>
      <c r="BQ15" s="2" t="b">
        <f>BP15&lt;=-$BN$128</f>
        <v>0</v>
      </c>
      <c r="BR15" s="1">
        <v>85</v>
      </c>
      <c r="BS15" s="4">
        <f t="shared" si="17"/>
        <v>0.29032258064516725</v>
      </c>
      <c r="BT15" s="4">
        <f t="shared" si="38"/>
        <v>-2.5447060512959663</v>
      </c>
      <c r="BU15" s="2" t="b">
        <f>BT15&lt;=-$BR$128</f>
        <v>0</v>
      </c>
      <c r="BV15" s="1">
        <v>90</v>
      </c>
      <c r="BW15" s="2">
        <f t="shared" si="18"/>
        <v>3.3870967741935516</v>
      </c>
      <c r="BX15" s="4">
        <f t="shared" si="39"/>
        <v>0</v>
      </c>
      <c r="BY15" s="2" t="b">
        <f>BX15&lt;=-$BV$128</f>
        <v>0</v>
      </c>
      <c r="BZ15" s="1">
        <v>90</v>
      </c>
      <c r="CA15" s="2">
        <f t="shared" si="19"/>
        <v>-6.4516129032256231E-2</v>
      </c>
      <c r="CB15" s="4">
        <f t="shared" si="40"/>
        <v>0</v>
      </c>
      <c r="CC15" s="2" t="b">
        <f t="shared" si="20"/>
        <v>0</v>
      </c>
    </row>
    <row r="16" spans="1:81" x14ac:dyDescent="0.2">
      <c r="A16" s="3">
        <v>45853</v>
      </c>
      <c r="B16" s="1">
        <v>82</v>
      </c>
      <c r="C16" s="2">
        <f t="shared" si="0"/>
        <v>-9.1935483870967687</v>
      </c>
      <c r="D16" s="4">
        <f t="shared" si="21"/>
        <v>-6.7426323854125361</v>
      </c>
      <c r="E16" s="2" t="b">
        <f>D16&lt;=-$B$128</f>
        <v>0</v>
      </c>
      <c r="F16" s="1">
        <v>91</v>
      </c>
      <c r="G16" s="4">
        <f t="shared" si="1"/>
        <v>3.7419354838709609</v>
      </c>
      <c r="H16" s="4">
        <f t="shared" si="22"/>
        <v>0</v>
      </c>
      <c r="I16" s="2" t="b">
        <f>H16&lt;=-$F$128</f>
        <v>0</v>
      </c>
      <c r="J16" s="1">
        <v>91</v>
      </c>
      <c r="K16" s="4">
        <f t="shared" si="2"/>
        <v>1.2903225806451672</v>
      </c>
      <c r="L16" s="4">
        <f t="shared" si="23"/>
        <v>-0.74623238407695247</v>
      </c>
      <c r="M16" s="2" t="b">
        <f>L16&lt;=-$J$128</f>
        <v>0</v>
      </c>
      <c r="N16" s="1">
        <v>81</v>
      </c>
      <c r="O16" s="4">
        <f t="shared" si="3"/>
        <v>-6.6451612903225765</v>
      </c>
      <c r="P16" s="4">
        <f t="shared" si="24"/>
        <v>-29.769717954939384</v>
      </c>
      <c r="Q16" s="2" t="b">
        <f>P16&lt;=-$N$128</f>
        <v>1</v>
      </c>
      <c r="R16" s="1">
        <v>93</v>
      </c>
      <c r="S16" s="4">
        <f t="shared" si="4"/>
        <v>1.2580645161290391</v>
      </c>
      <c r="T16" s="4">
        <f t="shared" si="25"/>
        <v>0</v>
      </c>
      <c r="U16" s="2" t="b">
        <f>T16&lt;=-$R$128</f>
        <v>0</v>
      </c>
      <c r="V16" s="1">
        <v>82</v>
      </c>
      <c r="W16" s="4">
        <f t="shared" si="5"/>
        <v>-4.7419354838709609</v>
      </c>
      <c r="X16" s="4">
        <f t="shared" si="26"/>
        <v>-6.8766023850359517</v>
      </c>
      <c r="Y16" s="2" t="b">
        <f>X16&lt;=-$V$128</f>
        <v>0</v>
      </c>
      <c r="Z16" s="1">
        <v>91</v>
      </c>
      <c r="AA16" s="4">
        <f t="shared" si="6"/>
        <v>1.7419354838709609</v>
      </c>
      <c r="AB16" s="4">
        <f t="shared" si="27"/>
        <v>-14.936897585501178</v>
      </c>
      <c r="AC16" s="2" t="b">
        <f>AB16&lt;=-$Z$128</f>
        <v>0</v>
      </c>
      <c r="AD16" s="1">
        <v>86</v>
      </c>
      <c r="AE16" s="4">
        <f t="shared" si="7"/>
        <v>0.41935483870967971</v>
      </c>
      <c r="AF16" s="4">
        <f t="shared" si="28"/>
        <v>0</v>
      </c>
      <c r="AG16" s="2" t="b">
        <f>AF16&lt;=-$AD$128</f>
        <v>0</v>
      </c>
      <c r="AH16" s="1">
        <v>84</v>
      </c>
      <c r="AI16" s="4">
        <f t="shared" si="8"/>
        <v>-3.8387096774193594</v>
      </c>
      <c r="AJ16" s="4">
        <f t="shared" si="29"/>
        <v>-2.2889958640893608</v>
      </c>
      <c r="AK16" s="2" t="b">
        <f>AJ16&lt;=-$AH$128</f>
        <v>0</v>
      </c>
      <c r="AL16" s="1">
        <v>84</v>
      </c>
      <c r="AM16" s="4">
        <f t="shared" si="9"/>
        <v>-2.9354838709677438</v>
      </c>
      <c r="AN16" s="4">
        <f t="shared" si="30"/>
        <v>-10.334564571550093</v>
      </c>
      <c r="AO16" s="2" t="b">
        <f>AN16&lt;=-$AL$128</f>
        <v>0</v>
      </c>
      <c r="AP16" s="1">
        <v>91</v>
      </c>
      <c r="AQ16" s="4">
        <f t="shared" si="10"/>
        <v>0.80645161290323131</v>
      </c>
      <c r="AR16" s="4">
        <f t="shared" si="31"/>
        <v>-15.745102608127794</v>
      </c>
      <c r="AS16" s="2" t="b">
        <f>AR16&lt;=-$AP$128</f>
        <v>0</v>
      </c>
      <c r="AT16" s="1">
        <v>81</v>
      </c>
      <c r="AU16" s="4">
        <f t="shared" si="11"/>
        <v>-5.4193548387096797</v>
      </c>
      <c r="AV16" s="4">
        <f t="shared" si="32"/>
        <v>-4.4843672823699503</v>
      </c>
      <c r="AW16" s="2" t="b">
        <f>AV16&lt;=-$AT$128</f>
        <v>0</v>
      </c>
      <c r="AX16" s="1">
        <v>89</v>
      </c>
      <c r="AY16" s="4">
        <f t="shared" si="12"/>
        <v>-0.16129032258064058</v>
      </c>
      <c r="AZ16" s="4">
        <f t="shared" si="33"/>
        <v>-1.3650706413079918</v>
      </c>
      <c r="BA16" s="2" t="b">
        <f>AZ16&lt;=-$AX$128</f>
        <v>0</v>
      </c>
      <c r="BB16" s="1">
        <v>89</v>
      </c>
      <c r="BC16" s="4">
        <f t="shared" si="13"/>
        <v>2.3548387096774235</v>
      </c>
      <c r="BD16" s="4">
        <f t="shared" si="34"/>
        <v>0</v>
      </c>
      <c r="BE16" s="2" t="b">
        <f>BD16&lt;=-$BB$128</f>
        <v>0</v>
      </c>
      <c r="BF16" s="1">
        <v>94</v>
      </c>
      <c r="BG16" s="4">
        <f t="shared" si="14"/>
        <v>2.7419354838709609</v>
      </c>
      <c r="BH16" s="4">
        <f t="shared" si="35"/>
        <v>0</v>
      </c>
      <c r="BI16" s="2" t="b">
        <f>BH16&lt;=-$BF$128</f>
        <v>0</v>
      </c>
      <c r="BJ16" s="1">
        <v>80</v>
      </c>
      <c r="BK16" s="4">
        <f t="shared" si="15"/>
        <v>-11.935483870967744</v>
      </c>
      <c r="BL16" s="4">
        <f t="shared" si="36"/>
        <v>-10.397876094512711</v>
      </c>
      <c r="BM16" s="2" t="b">
        <f>BL16&lt;=-$BJ$128</f>
        <v>0</v>
      </c>
      <c r="BN16" s="1">
        <v>90</v>
      </c>
      <c r="BO16" s="4">
        <f t="shared" si="16"/>
        <v>-4.0967741935483843</v>
      </c>
      <c r="BP16" s="4">
        <f t="shared" si="37"/>
        <v>-15.020980866970412</v>
      </c>
      <c r="BQ16" s="9" t="b">
        <f>BP16&lt;=-$BN$128</f>
        <v>0</v>
      </c>
      <c r="BR16" s="1">
        <v>86</v>
      </c>
      <c r="BS16" s="4">
        <f t="shared" si="17"/>
        <v>1.2903225806451672</v>
      </c>
      <c r="BT16" s="4">
        <f t="shared" si="38"/>
        <v>0</v>
      </c>
      <c r="BU16" s="2" t="b">
        <f>BT16&lt;=-$BR$128</f>
        <v>0</v>
      </c>
      <c r="BV16" s="1">
        <v>86</v>
      </c>
      <c r="BW16" s="2">
        <f t="shared" si="18"/>
        <v>-0.6129032258064484</v>
      </c>
      <c r="BX16" s="4">
        <f t="shared" si="39"/>
        <v>0</v>
      </c>
      <c r="BY16" s="2" t="b">
        <f>BX16&lt;=-$BV$128</f>
        <v>0</v>
      </c>
      <c r="BZ16" s="1">
        <v>89</v>
      </c>
      <c r="CA16" s="2">
        <f t="shared" si="19"/>
        <v>-1.0645161290322562</v>
      </c>
      <c r="CB16" s="4">
        <f t="shared" si="40"/>
        <v>0</v>
      </c>
      <c r="CC16" s="2" t="b">
        <f t="shared" si="20"/>
        <v>0</v>
      </c>
    </row>
    <row r="17" spans="1:81" x14ac:dyDescent="0.2">
      <c r="A17" s="3">
        <v>45854</v>
      </c>
      <c r="B17" s="1">
        <v>91</v>
      </c>
      <c r="C17" s="2">
        <f t="shared" si="0"/>
        <v>-0.19354838709676869</v>
      </c>
      <c r="D17" s="4">
        <f t="shared" si="21"/>
        <v>-4.4852647708250721</v>
      </c>
      <c r="E17" s="2" t="b">
        <f>D17&lt;=-$B$128</f>
        <v>0</v>
      </c>
      <c r="F17" s="1">
        <v>91</v>
      </c>
      <c r="G17" s="4">
        <f t="shared" si="1"/>
        <v>3.7419354838709609</v>
      </c>
      <c r="H17" s="4">
        <f t="shared" si="22"/>
        <v>0</v>
      </c>
      <c r="I17" s="2" t="b">
        <f>H17&lt;=-$F$128</f>
        <v>0</v>
      </c>
      <c r="J17" s="1">
        <v>87</v>
      </c>
      <c r="K17" s="4">
        <f t="shared" si="2"/>
        <v>-2.7096774193548328</v>
      </c>
      <c r="L17" s="4">
        <f t="shared" si="23"/>
        <v>-1.9327904800961906</v>
      </c>
      <c r="M17" s="2" t="b">
        <f>L17&lt;=-$J$128</f>
        <v>0</v>
      </c>
      <c r="N17" s="1">
        <v>86</v>
      </c>
      <c r="O17" s="4">
        <f t="shared" si="3"/>
        <v>-1.6451612903225765</v>
      </c>
      <c r="P17" s="4">
        <f t="shared" si="24"/>
        <v>-28.523661545927261</v>
      </c>
      <c r="Q17" s="2" t="b">
        <f>P17&lt;=-$N$128</f>
        <v>0</v>
      </c>
      <c r="R17" s="1">
        <v>93</v>
      </c>
      <c r="S17" s="4">
        <f t="shared" si="4"/>
        <v>1.2580645161290391</v>
      </c>
      <c r="T17" s="4">
        <f t="shared" si="25"/>
        <v>0</v>
      </c>
      <c r="U17" s="2" t="b">
        <f>T17&lt;=-$R$128</f>
        <v>0</v>
      </c>
      <c r="V17" s="1">
        <v>84</v>
      </c>
      <c r="W17" s="4">
        <f t="shared" si="5"/>
        <v>-2.7419354838709609</v>
      </c>
      <c r="X17" s="4">
        <f t="shared" si="26"/>
        <v>-8.3149035775539275</v>
      </c>
      <c r="Y17" s="2" t="b">
        <f>X17&lt;=-$V$128</f>
        <v>0</v>
      </c>
      <c r="Z17" s="1">
        <v>93</v>
      </c>
      <c r="AA17" s="4">
        <f t="shared" si="6"/>
        <v>3.7419354838709609</v>
      </c>
      <c r="AB17" s="4">
        <f t="shared" si="27"/>
        <v>-9.324277102601414</v>
      </c>
      <c r="AC17" s="2" t="b">
        <f>AB17&lt;=-$Z$128</f>
        <v>0</v>
      </c>
      <c r="AD17" s="1">
        <v>88</v>
      </c>
      <c r="AE17" s="4">
        <f t="shared" si="7"/>
        <v>2.4193548387096797</v>
      </c>
      <c r="AF17" s="4">
        <f t="shared" si="28"/>
        <v>0</v>
      </c>
      <c r="AG17" s="2" t="b">
        <f>AF17&lt;=-$AD$128</f>
        <v>0</v>
      </c>
      <c r="AH17" s="1">
        <v>84</v>
      </c>
      <c r="AI17" s="4">
        <f t="shared" si="8"/>
        <v>-3.8387096774193594</v>
      </c>
      <c r="AJ17" s="4">
        <f t="shared" si="29"/>
        <v>-4.5779917281787217</v>
      </c>
      <c r="AK17" s="2" t="b">
        <f>AJ17&lt;=-$AH$128</f>
        <v>0</v>
      </c>
      <c r="AL17" s="1">
        <v>85</v>
      </c>
      <c r="AM17" s="4">
        <f t="shared" si="9"/>
        <v>-1.9354838709677438</v>
      </c>
      <c r="AN17" s="4">
        <f t="shared" si="30"/>
        <v>-10.068021028705102</v>
      </c>
      <c r="AO17" s="2" t="b">
        <f>AN17&lt;=-$AL$128</f>
        <v>0</v>
      </c>
      <c r="AP17" s="1">
        <v>91</v>
      </c>
      <c r="AQ17" s="4">
        <f t="shared" si="10"/>
        <v>0.80645161290323131</v>
      </c>
      <c r="AR17" s="4">
        <f t="shared" si="31"/>
        <v>-12.819612868940574</v>
      </c>
      <c r="AS17" s="2" t="b">
        <f>AR17&lt;=-$AP$128</f>
        <v>0</v>
      </c>
      <c r="AT17" s="1">
        <v>86</v>
      </c>
      <c r="AU17" s="4">
        <f t="shared" si="11"/>
        <v>-0.41935483870967971</v>
      </c>
      <c r="AV17" s="4">
        <f t="shared" si="32"/>
        <v>-3.2265509235549255</v>
      </c>
      <c r="AW17" s="2" t="b">
        <f>AV17&lt;=-$AT$128</f>
        <v>0</v>
      </c>
      <c r="AX17" s="1">
        <v>89</v>
      </c>
      <c r="AY17" s="4">
        <f t="shared" si="12"/>
        <v>-0.16129032258064058</v>
      </c>
      <c r="AZ17" s="4">
        <f t="shared" si="33"/>
        <v>-0.1534275217439891</v>
      </c>
      <c r="BA17" s="2" t="b">
        <f>AZ17&lt;=-$AX$128</f>
        <v>0</v>
      </c>
      <c r="BB17" s="1">
        <v>90</v>
      </c>
      <c r="BC17" s="4">
        <f t="shared" si="13"/>
        <v>3.3548387096774235</v>
      </c>
      <c r="BD17" s="4">
        <f t="shared" si="34"/>
        <v>0</v>
      </c>
      <c r="BE17" s="2" t="b">
        <f>BD17&lt;=-$BB$128</f>
        <v>0</v>
      </c>
      <c r="BF17" s="1">
        <v>89</v>
      </c>
      <c r="BG17" s="4">
        <f t="shared" si="14"/>
        <v>-2.2580645161290391</v>
      </c>
      <c r="BH17" s="4">
        <f t="shared" si="35"/>
        <v>-0.22923997165554955</v>
      </c>
      <c r="BI17" s="2" t="b">
        <f>BH17&lt;=-$BF$128</f>
        <v>0</v>
      </c>
      <c r="BJ17" s="1">
        <v>85</v>
      </c>
      <c r="BK17" s="4">
        <f t="shared" si="15"/>
        <v>-6.9354838709677438</v>
      </c>
      <c r="BL17" s="4">
        <f t="shared" si="36"/>
        <v>-15.596814141769066</v>
      </c>
      <c r="BM17" s="2" t="b">
        <f>BL17&lt;=-$BJ$128</f>
        <v>0</v>
      </c>
      <c r="BN17" s="1">
        <v>92</v>
      </c>
      <c r="BO17" s="4">
        <f t="shared" si="16"/>
        <v>-2.0967741935483843</v>
      </c>
      <c r="BP17" s="4">
        <f t="shared" si="37"/>
        <v>-14.825177040364494</v>
      </c>
      <c r="BQ17" s="2" t="b">
        <f>BP17&lt;=-$BN$128</f>
        <v>0</v>
      </c>
      <c r="BR17" s="1">
        <v>87</v>
      </c>
      <c r="BS17" s="4">
        <f t="shared" si="17"/>
        <v>2.2903225806451672</v>
      </c>
      <c r="BT17" s="4">
        <f t="shared" si="38"/>
        <v>0</v>
      </c>
      <c r="BU17" s="2" t="b">
        <f>BT17&lt;=-$BR$128</f>
        <v>0</v>
      </c>
      <c r="BV17" s="1">
        <v>83</v>
      </c>
      <c r="BW17" s="2">
        <f t="shared" si="18"/>
        <v>-3.6129032258064484</v>
      </c>
      <c r="BX17" s="4">
        <f t="shared" si="39"/>
        <v>-1.8208958813514526</v>
      </c>
      <c r="BY17" s="2" t="b">
        <f>BX17&lt;=-$BV$128</f>
        <v>0</v>
      </c>
      <c r="BZ17" s="1">
        <v>88</v>
      </c>
      <c r="CA17" s="2">
        <f t="shared" si="19"/>
        <v>-2.0645161290322562</v>
      </c>
      <c r="CB17" s="4">
        <f t="shared" si="40"/>
        <v>-0.28530523713397793</v>
      </c>
      <c r="CC17" s="2" t="b">
        <f t="shared" si="20"/>
        <v>0</v>
      </c>
    </row>
    <row r="18" spans="1:81" x14ac:dyDescent="0.2">
      <c r="A18" s="3">
        <v>45855</v>
      </c>
      <c r="B18" s="1">
        <v>96</v>
      </c>
      <c r="C18" s="2">
        <f t="shared" si="0"/>
        <v>4.8064516129032313</v>
      </c>
      <c r="D18" s="4">
        <f t="shared" si="21"/>
        <v>0</v>
      </c>
      <c r="E18" s="2" t="b">
        <f>D18&lt;=-$B$128</f>
        <v>0</v>
      </c>
      <c r="F18" s="1">
        <v>89</v>
      </c>
      <c r="G18" s="4">
        <f t="shared" si="1"/>
        <v>1.7419354838709609</v>
      </c>
      <c r="H18" s="4">
        <f t="shared" si="22"/>
        <v>0</v>
      </c>
      <c r="I18" s="2" t="b">
        <f>H18&lt;=-$F$128</f>
        <v>0</v>
      </c>
      <c r="J18" s="1">
        <v>90</v>
      </c>
      <c r="K18" s="4">
        <f t="shared" si="2"/>
        <v>0.29032258064516725</v>
      </c>
      <c r="L18" s="4">
        <f t="shared" si="23"/>
        <v>-0.11934857611542871</v>
      </c>
      <c r="M18" s="2" t="b">
        <f>L18&lt;=-$J$128</f>
        <v>0</v>
      </c>
      <c r="N18" s="1">
        <v>82</v>
      </c>
      <c r="O18" s="4">
        <f t="shared" si="3"/>
        <v>-5.6451612903225765</v>
      </c>
      <c r="P18" s="4">
        <f t="shared" si="24"/>
        <v>-31.277605136915138</v>
      </c>
      <c r="Q18" s="2" t="b">
        <f>P18&lt;=-$N$128</f>
        <v>1</v>
      </c>
      <c r="R18" s="1">
        <v>91</v>
      </c>
      <c r="S18" s="4">
        <f t="shared" si="4"/>
        <v>-0.74193548387096087</v>
      </c>
      <c r="T18" s="4">
        <f t="shared" si="25"/>
        <v>0</v>
      </c>
      <c r="U18" s="2" t="b">
        <f>T18&lt;=-$R$128</f>
        <v>0</v>
      </c>
      <c r="V18" s="1">
        <v>87</v>
      </c>
      <c r="W18" s="4">
        <f t="shared" si="5"/>
        <v>0.25806451612903913</v>
      </c>
      <c r="X18" s="4">
        <f t="shared" si="26"/>
        <v>-6.7532047700719033</v>
      </c>
      <c r="Y18" s="2" t="b">
        <f>X18&lt;=-$V$128</f>
        <v>0</v>
      </c>
      <c r="Z18" s="1">
        <v>93</v>
      </c>
      <c r="AA18" s="4">
        <f t="shared" si="6"/>
        <v>3.7419354838709609</v>
      </c>
      <c r="AB18" s="4">
        <f t="shared" si="27"/>
        <v>-3.7116566197016496</v>
      </c>
      <c r="AC18" s="2" t="b">
        <f>AB18&lt;=-$Z$128</f>
        <v>0</v>
      </c>
      <c r="AD18" s="1">
        <v>88</v>
      </c>
      <c r="AE18" s="4">
        <f t="shared" si="7"/>
        <v>2.4193548387096797</v>
      </c>
      <c r="AF18" s="4">
        <f t="shared" si="28"/>
        <v>0</v>
      </c>
      <c r="AG18" s="2" t="b">
        <f>AF18&lt;=-$AD$128</f>
        <v>0</v>
      </c>
      <c r="AH18" s="1">
        <v>84</v>
      </c>
      <c r="AI18" s="4">
        <f t="shared" si="8"/>
        <v>-3.8387096774193594</v>
      </c>
      <c r="AJ18" s="4">
        <f t="shared" si="29"/>
        <v>-6.8669875922680825</v>
      </c>
      <c r="AK18" s="2" t="b">
        <f>AJ18&lt;=-$AH$128</f>
        <v>0</v>
      </c>
      <c r="AL18" s="1">
        <v>89</v>
      </c>
      <c r="AM18" s="4">
        <f t="shared" si="9"/>
        <v>2.0645161290322562</v>
      </c>
      <c r="AN18" s="4">
        <f t="shared" si="30"/>
        <v>-5.8014774858601115</v>
      </c>
      <c r="AO18" s="2" t="b">
        <f>AN18&lt;=-$AL$128</f>
        <v>0</v>
      </c>
      <c r="AP18" s="1">
        <v>93</v>
      </c>
      <c r="AQ18" s="4">
        <f t="shared" si="10"/>
        <v>2.8064516129032313</v>
      </c>
      <c r="AR18" s="4">
        <f t="shared" si="31"/>
        <v>-7.8941231297533534</v>
      </c>
      <c r="AS18" s="2" t="b">
        <f>AR18&lt;=-$AP$128</f>
        <v>0</v>
      </c>
      <c r="AT18" s="1">
        <v>89</v>
      </c>
      <c r="AU18" s="4">
        <f t="shared" si="11"/>
        <v>2.5806451612903203</v>
      </c>
      <c r="AV18" s="4">
        <f t="shared" si="32"/>
        <v>0</v>
      </c>
      <c r="AW18" s="2" t="b">
        <f>AV18&lt;=-$AT$128</f>
        <v>0</v>
      </c>
      <c r="AX18" s="1">
        <v>88</v>
      </c>
      <c r="AY18" s="4">
        <f t="shared" si="12"/>
        <v>-1.1612903225806406</v>
      </c>
      <c r="AZ18" s="4">
        <f t="shared" si="33"/>
        <v>0</v>
      </c>
      <c r="BA18" s="2" t="b">
        <f>AZ18&lt;=-$AX$128</f>
        <v>0</v>
      </c>
      <c r="BB18" s="1">
        <v>88</v>
      </c>
      <c r="BC18" s="4">
        <f t="shared" si="13"/>
        <v>1.3548387096774235</v>
      </c>
      <c r="BD18" s="4">
        <f t="shared" si="34"/>
        <v>0</v>
      </c>
      <c r="BE18" s="2" t="b">
        <f>BD18&lt;=-$BB$128</f>
        <v>0</v>
      </c>
      <c r="BF18" s="1">
        <v>87</v>
      </c>
      <c r="BG18" s="4">
        <f t="shared" si="14"/>
        <v>-4.2580645161290391</v>
      </c>
      <c r="BH18" s="4">
        <f t="shared" si="35"/>
        <v>-2.4584799433110991</v>
      </c>
      <c r="BI18" s="2" t="b">
        <f>BH18&lt;=-$BF$128</f>
        <v>0</v>
      </c>
      <c r="BJ18" s="1">
        <v>87</v>
      </c>
      <c r="BK18" s="4">
        <f t="shared" si="15"/>
        <v>-4.9354838709677438</v>
      </c>
      <c r="BL18" s="4">
        <f t="shared" si="36"/>
        <v>-18.795752189025421</v>
      </c>
      <c r="BM18" s="2" t="b">
        <f>BL18&lt;=-$BJ$128</f>
        <v>1</v>
      </c>
      <c r="BN18" s="1">
        <v>93</v>
      </c>
      <c r="BO18" s="4">
        <f t="shared" si="16"/>
        <v>-1.0967741935483843</v>
      </c>
      <c r="BP18" s="4">
        <f t="shared" si="37"/>
        <v>-13.629373213758576</v>
      </c>
      <c r="BQ18" s="2" t="b">
        <f>BP18&lt;=-$BN$128</f>
        <v>0</v>
      </c>
      <c r="BR18" s="1">
        <v>91</v>
      </c>
      <c r="BS18" s="4">
        <f t="shared" si="17"/>
        <v>6.2903225806451672</v>
      </c>
      <c r="BT18" s="4">
        <f t="shared" si="38"/>
        <v>0</v>
      </c>
      <c r="BU18" s="2" t="b">
        <f>BT18&lt;=-$BR$128</f>
        <v>0</v>
      </c>
      <c r="BV18" s="1">
        <v>86</v>
      </c>
      <c r="BW18" s="2">
        <f t="shared" si="18"/>
        <v>-0.6129032258064484</v>
      </c>
      <c r="BX18" s="4">
        <f t="shared" si="39"/>
        <v>-0.64179176270290506</v>
      </c>
      <c r="BY18" s="2" t="b">
        <f>BX18&lt;=-$BV$128</f>
        <v>0</v>
      </c>
      <c r="BZ18" s="1">
        <v>93</v>
      </c>
      <c r="CA18" s="2">
        <f t="shared" si="19"/>
        <v>2.9354838709677438</v>
      </c>
      <c r="CB18" s="4">
        <f t="shared" si="40"/>
        <v>0</v>
      </c>
      <c r="CC18" s="2" t="b">
        <f t="shared" si="20"/>
        <v>0</v>
      </c>
    </row>
    <row r="19" spans="1:81" x14ac:dyDescent="0.2">
      <c r="A19" s="3">
        <v>45856</v>
      </c>
      <c r="B19" s="1">
        <v>95</v>
      </c>
      <c r="C19" s="2">
        <f t="shared" si="0"/>
        <v>3.8064516129032313</v>
      </c>
      <c r="D19" s="4">
        <f t="shared" si="21"/>
        <v>0</v>
      </c>
      <c r="E19" s="2" t="b">
        <f>D19&lt;=-$B$128</f>
        <v>0</v>
      </c>
      <c r="F19" s="1">
        <v>89</v>
      </c>
      <c r="G19" s="4">
        <f t="shared" si="1"/>
        <v>1.7419354838709609</v>
      </c>
      <c r="H19" s="4">
        <f t="shared" si="22"/>
        <v>0</v>
      </c>
      <c r="I19" s="2" t="b">
        <f>H19&lt;=-$F$128</f>
        <v>0</v>
      </c>
      <c r="J19" s="1">
        <v>91</v>
      </c>
      <c r="K19" s="4">
        <f t="shared" si="2"/>
        <v>1.2903225806451672</v>
      </c>
      <c r="L19" s="4">
        <f t="shared" si="23"/>
        <v>0</v>
      </c>
      <c r="M19" s="2" t="b">
        <f>L19&lt;=-$J$128</f>
        <v>0</v>
      </c>
      <c r="N19" s="1">
        <v>87</v>
      </c>
      <c r="O19" s="4">
        <f t="shared" si="3"/>
        <v>-0.64516129032257652</v>
      </c>
      <c r="P19" s="4">
        <f t="shared" si="24"/>
        <v>-29.031548727903015</v>
      </c>
      <c r="Q19" s="2" t="b">
        <f>P19&lt;=-$N$128</f>
        <v>1</v>
      </c>
      <c r="R19" s="1">
        <v>97</v>
      </c>
      <c r="S19" s="4">
        <f t="shared" si="4"/>
        <v>5.2580645161290391</v>
      </c>
      <c r="T19" s="4">
        <f t="shared" si="25"/>
        <v>0</v>
      </c>
      <c r="U19" s="2" t="b">
        <f>T19&lt;=-$R$128</f>
        <v>0</v>
      </c>
      <c r="V19" s="1">
        <v>88</v>
      </c>
      <c r="W19" s="4">
        <f t="shared" si="5"/>
        <v>1.2580645161290391</v>
      </c>
      <c r="X19" s="4">
        <f t="shared" si="26"/>
        <v>-4.1915059625898792</v>
      </c>
      <c r="Y19" s="2" t="b">
        <f>X19&lt;=-$V$128</f>
        <v>0</v>
      </c>
      <c r="Z19" s="1">
        <v>93</v>
      </c>
      <c r="AA19" s="4">
        <f t="shared" si="6"/>
        <v>3.7419354838709609</v>
      </c>
      <c r="AB19" s="4">
        <f t="shared" si="27"/>
        <v>0</v>
      </c>
      <c r="AC19" s="2" t="b">
        <f>AB19&lt;=-$Z$128</f>
        <v>0</v>
      </c>
      <c r="AD19" s="1">
        <v>88</v>
      </c>
      <c r="AE19" s="4">
        <f t="shared" si="7"/>
        <v>2.4193548387096797</v>
      </c>
      <c r="AF19" s="4">
        <f t="shared" si="28"/>
        <v>0</v>
      </c>
      <c r="AG19" s="2" t="b">
        <f>AF19&lt;=-$AD$128</f>
        <v>0</v>
      </c>
      <c r="AH19" s="1">
        <v>87</v>
      </c>
      <c r="AI19" s="4">
        <f t="shared" si="8"/>
        <v>-0.83870967741935942</v>
      </c>
      <c r="AJ19" s="4">
        <f t="shared" si="29"/>
        <v>-6.1559834563574434</v>
      </c>
      <c r="AK19" s="2" t="b">
        <f>AJ19&lt;=-$AH$128</f>
        <v>0</v>
      </c>
      <c r="AL19" s="1">
        <v>90</v>
      </c>
      <c r="AM19" s="4">
        <f t="shared" si="9"/>
        <v>3.0645161290322562</v>
      </c>
      <c r="AN19" s="4">
        <f t="shared" si="30"/>
        <v>-0.53493394301512076</v>
      </c>
      <c r="AO19" s="2" t="b">
        <f>AN19&lt;=-$AL$128</f>
        <v>0</v>
      </c>
      <c r="AP19" s="1">
        <v>93</v>
      </c>
      <c r="AQ19" s="4">
        <f t="shared" si="10"/>
        <v>2.8064516129032313</v>
      </c>
      <c r="AR19" s="4">
        <f t="shared" si="31"/>
        <v>-2.9686333905661328</v>
      </c>
      <c r="AS19" s="2" t="b">
        <f>AR19&lt;=-$AP$128</f>
        <v>0</v>
      </c>
      <c r="AT19" s="1">
        <v>89</v>
      </c>
      <c r="AU19" s="4">
        <f t="shared" si="11"/>
        <v>2.5806451612903203</v>
      </c>
      <c r="AV19" s="4">
        <f t="shared" si="32"/>
        <v>0</v>
      </c>
      <c r="AW19" s="2" t="b">
        <f>AV19&lt;=-$AT$128</f>
        <v>0</v>
      </c>
      <c r="AX19" s="1">
        <v>90</v>
      </c>
      <c r="AY19" s="4">
        <f t="shared" si="12"/>
        <v>0.83870967741935942</v>
      </c>
      <c r="AZ19" s="4">
        <f t="shared" si="33"/>
        <v>0</v>
      </c>
      <c r="BA19" s="2" t="b">
        <f>AZ19&lt;=-$AX$128</f>
        <v>0</v>
      </c>
      <c r="BB19" s="1">
        <v>82</v>
      </c>
      <c r="BC19" s="4">
        <f t="shared" si="13"/>
        <v>-4.6451612903225765</v>
      </c>
      <c r="BD19" s="4">
        <f t="shared" si="34"/>
        <v>-2.7987756900358338</v>
      </c>
      <c r="BE19" s="2" t="b">
        <f>BD19&lt;=-$BB$128</f>
        <v>0</v>
      </c>
      <c r="BF19" s="1">
        <v>83</v>
      </c>
      <c r="BG19" s="4">
        <f t="shared" si="14"/>
        <v>-8.2580645161290391</v>
      </c>
      <c r="BH19" s="4">
        <f t="shared" si="35"/>
        <v>-8.6877199149666495</v>
      </c>
      <c r="BI19" s="2" t="b">
        <f>BH19&lt;=-$BF$128</f>
        <v>0</v>
      </c>
      <c r="BJ19" s="1">
        <v>89</v>
      </c>
      <c r="BK19" s="4">
        <f t="shared" si="15"/>
        <v>-2.9354838709677438</v>
      </c>
      <c r="BL19" s="4">
        <f t="shared" si="36"/>
        <v>-19.994690236281777</v>
      </c>
      <c r="BM19" s="2" t="b">
        <f>BL19&lt;=-$BJ$128</f>
        <v>1</v>
      </c>
      <c r="BN19" s="1">
        <v>93</v>
      </c>
      <c r="BO19" s="4">
        <f t="shared" si="16"/>
        <v>-1.0967741935483843</v>
      </c>
      <c r="BP19" s="4">
        <f t="shared" si="37"/>
        <v>-12.433569387152659</v>
      </c>
      <c r="BQ19" s="2" t="b">
        <f>BP19&lt;=-$BN$128</f>
        <v>0</v>
      </c>
      <c r="BR19" s="1">
        <v>87</v>
      </c>
      <c r="BS19" s="4">
        <f t="shared" si="17"/>
        <v>2.2903225806451672</v>
      </c>
      <c r="BT19" s="4">
        <f t="shared" si="38"/>
        <v>0</v>
      </c>
      <c r="BU19" s="2" t="b">
        <f>BT19&lt;=-$BR$128</f>
        <v>0</v>
      </c>
      <c r="BV19" s="1">
        <v>82</v>
      </c>
      <c r="BW19" s="2">
        <f t="shared" si="18"/>
        <v>-4.6129032258064484</v>
      </c>
      <c r="BX19" s="4">
        <f t="shared" si="39"/>
        <v>-3.4626876440543572</v>
      </c>
      <c r="BY19" s="2" t="b">
        <f>BX19&lt;=-$BV$128</f>
        <v>0</v>
      </c>
      <c r="BZ19" s="1">
        <v>92</v>
      </c>
      <c r="CA19" s="2">
        <f t="shared" si="19"/>
        <v>1.9354838709677438</v>
      </c>
      <c r="CB19" s="4">
        <f t="shared" si="40"/>
        <v>0</v>
      </c>
      <c r="CC19" s="2" t="b">
        <f t="shared" si="20"/>
        <v>0</v>
      </c>
    </row>
    <row r="20" spans="1:81" x14ac:dyDescent="0.2">
      <c r="A20" s="3">
        <v>45857</v>
      </c>
      <c r="B20" s="1">
        <v>96</v>
      </c>
      <c r="C20" s="2">
        <f t="shared" si="0"/>
        <v>4.8064516129032313</v>
      </c>
      <c r="D20" s="4">
        <f t="shared" si="21"/>
        <v>0</v>
      </c>
      <c r="E20" s="2" t="b">
        <f>D20&lt;=-$B$128</f>
        <v>0</v>
      </c>
      <c r="F20" s="1">
        <v>89</v>
      </c>
      <c r="G20" s="4">
        <f t="shared" si="1"/>
        <v>1.7419354838709609</v>
      </c>
      <c r="H20" s="4">
        <f t="shared" si="22"/>
        <v>0</v>
      </c>
      <c r="I20" s="2" t="b">
        <f>H20&lt;=-$F$128</f>
        <v>0</v>
      </c>
      <c r="J20" s="1">
        <v>95</v>
      </c>
      <c r="K20" s="4">
        <f t="shared" si="2"/>
        <v>5.2903225806451672</v>
      </c>
      <c r="L20" s="4">
        <f t="shared" si="23"/>
        <v>0</v>
      </c>
      <c r="M20" s="2" t="b">
        <f>L20&lt;=-$J$128</f>
        <v>0</v>
      </c>
      <c r="N20" s="1">
        <v>88</v>
      </c>
      <c r="O20" s="4">
        <f t="shared" si="3"/>
        <v>0.35483870967742348</v>
      </c>
      <c r="P20" s="4">
        <f t="shared" si="24"/>
        <v>-25.785492318890892</v>
      </c>
      <c r="Q20" s="2" t="b">
        <f>P20&lt;=-$N$128</f>
        <v>0</v>
      </c>
      <c r="R20" s="1">
        <v>100</v>
      </c>
      <c r="S20" s="4">
        <f t="shared" si="4"/>
        <v>8.2580645161290391</v>
      </c>
      <c r="T20" s="4">
        <f t="shared" si="25"/>
        <v>0</v>
      </c>
      <c r="U20" s="2" t="b">
        <f>T20&lt;=-$R$128</f>
        <v>0</v>
      </c>
      <c r="V20" s="1">
        <v>90</v>
      </c>
      <c r="W20" s="4">
        <f t="shared" si="5"/>
        <v>3.2580645161290391</v>
      </c>
      <c r="X20" s="4">
        <f t="shared" si="26"/>
        <v>0</v>
      </c>
      <c r="Y20" s="2" t="b">
        <f>X20&lt;=-$V$128</f>
        <v>0</v>
      </c>
      <c r="Z20" s="1">
        <v>93</v>
      </c>
      <c r="AA20" s="4">
        <f t="shared" si="6"/>
        <v>3.7419354838709609</v>
      </c>
      <c r="AB20" s="4">
        <f t="shared" si="27"/>
        <v>0</v>
      </c>
      <c r="AC20" s="2" t="b">
        <f>AB20&lt;=-$Z$128</f>
        <v>0</v>
      </c>
      <c r="AD20" s="1">
        <v>88</v>
      </c>
      <c r="AE20" s="4">
        <f t="shared" si="7"/>
        <v>2.4193548387096797</v>
      </c>
      <c r="AF20" s="4">
        <f t="shared" si="28"/>
        <v>0</v>
      </c>
      <c r="AG20" s="2" t="b">
        <f>AF20&lt;=-$AD$128</f>
        <v>0</v>
      </c>
      <c r="AH20" s="1">
        <v>84</v>
      </c>
      <c r="AI20" s="4">
        <f t="shared" si="8"/>
        <v>-3.8387096774193594</v>
      </c>
      <c r="AJ20" s="4">
        <f t="shared" si="29"/>
        <v>-8.4449793204468033</v>
      </c>
      <c r="AK20" s="2" t="b">
        <f>AJ20&lt;=-$AH$128</f>
        <v>0</v>
      </c>
      <c r="AL20" s="1">
        <v>89</v>
      </c>
      <c r="AM20" s="4">
        <f t="shared" si="9"/>
        <v>2.0645161290322562</v>
      </c>
      <c r="AN20" s="4">
        <f t="shared" si="30"/>
        <v>0</v>
      </c>
      <c r="AO20" s="2" t="b">
        <f>AN20&lt;=-$AL$128</f>
        <v>0</v>
      </c>
      <c r="AP20" s="1">
        <v>96</v>
      </c>
      <c r="AQ20" s="4">
        <f t="shared" si="10"/>
        <v>5.8064516129032313</v>
      </c>
      <c r="AR20" s="4">
        <f t="shared" si="31"/>
        <v>0</v>
      </c>
      <c r="AS20" s="2" t="b">
        <f>AR20&lt;=-$AP$128</f>
        <v>0</v>
      </c>
      <c r="AT20" s="1">
        <v>88</v>
      </c>
      <c r="AU20" s="4">
        <f t="shared" si="11"/>
        <v>1.5806451612903203</v>
      </c>
      <c r="AV20" s="4">
        <f t="shared" si="32"/>
        <v>0</v>
      </c>
      <c r="AW20" s="2" t="b">
        <f>AV20&lt;=-$AT$128</f>
        <v>0</v>
      </c>
      <c r="AX20" s="1">
        <v>91</v>
      </c>
      <c r="AY20" s="4">
        <f t="shared" si="12"/>
        <v>1.8387096774193594</v>
      </c>
      <c r="AZ20" s="4">
        <f t="shared" si="33"/>
        <v>0</v>
      </c>
      <c r="BA20" s="2" t="b">
        <f>AZ20&lt;=-$AX$128</f>
        <v>0</v>
      </c>
      <c r="BB20" s="1">
        <v>80</v>
      </c>
      <c r="BC20" s="4">
        <f t="shared" si="13"/>
        <v>-6.6451612903225765</v>
      </c>
      <c r="BD20" s="4">
        <f t="shared" si="34"/>
        <v>-7.5975513800716676</v>
      </c>
      <c r="BE20" s="2" t="b">
        <f>BD20&lt;=-$BB$128</f>
        <v>0</v>
      </c>
      <c r="BF20" s="1">
        <v>90</v>
      </c>
      <c r="BG20" s="4">
        <f t="shared" si="14"/>
        <v>-1.2580645161290391</v>
      </c>
      <c r="BH20" s="4">
        <f t="shared" si="35"/>
        <v>-7.9169598866221991</v>
      </c>
      <c r="BI20" s="2" t="b">
        <f>BH20&lt;=-$BF$128</f>
        <v>0</v>
      </c>
      <c r="BJ20" s="1">
        <v>94</v>
      </c>
      <c r="BK20" s="4">
        <f t="shared" si="15"/>
        <v>2.0645161290322562</v>
      </c>
      <c r="BL20" s="4">
        <f t="shared" si="36"/>
        <v>-16.193628283538132</v>
      </c>
      <c r="BM20" s="2" t="b">
        <f>BL20&lt;=-$BJ$128</f>
        <v>0</v>
      </c>
      <c r="BN20" s="1">
        <v>91</v>
      </c>
      <c r="BO20" s="4">
        <f t="shared" si="16"/>
        <v>-3.0967741935483843</v>
      </c>
      <c r="BP20" s="4">
        <f t="shared" si="37"/>
        <v>-13.237765560546741</v>
      </c>
      <c r="BQ20" s="2" t="b">
        <f>BP20&lt;=-$BN$128</f>
        <v>0</v>
      </c>
      <c r="BR20" s="1">
        <v>90</v>
      </c>
      <c r="BS20" s="4">
        <f t="shared" si="17"/>
        <v>5.2903225806451672</v>
      </c>
      <c r="BT20" s="4">
        <f t="shared" si="38"/>
        <v>0</v>
      </c>
      <c r="BU20" s="2" t="b">
        <f>BT20&lt;=-$BR$128</f>
        <v>0</v>
      </c>
      <c r="BV20" s="1">
        <v>85</v>
      </c>
      <c r="BW20" s="2">
        <f t="shared" si="18"/>
        <v>-1.6129032258064484</v>
      </c>
      <c r="BX20" s="4">
        <f t="shared" si="39"/>
        <v>-3.2835835254058097</v>
      </c>
      <c r="BY20" s="2" t="b">
        <f>BX20&lt;=-$BV$128</f>
        <v>0</v>
      </c>
      <c r="BZ20" s="1">
        <v>91</v>
      </c>
      <c r="CA20" s="2">
        <f t="shared" si="19"/>
        <v>0.93548387096774377</v>
      </c>
      <c r="CB20" s="4">
        <f t="shared" si="40"/>
        <v>0</v>
      </c>
      <c r="CC20" s="2" t="b">
        <f t="shared" si="20"/>
        <v>0</v>
      </c>
    </row>
    <row r="21" spans="1:81" x14ac:dyDescent="0.2">
      <c r="A21" s="3">
        <v>45858</v>
      </c>
      <c r="B21" s="1">
        <v>99</v>
      </c>
      <c r="C21" s="2">
        <f t="shared" si="0"/>
        <v>7.8064516129032313</v>
      </c>
      <c r="D21" s="4">
        <f t="shared" si="21"/>
        <v>0</v>
      </c>
      <c r="E21" s="2" t="b">
        <f>D21&lt;=-$B$128</f>
        <v>0</v>
      </c>
      <c r="F21" s="1">
        <v>90</v>
      </c>
      <c r="G21" s="4">
        <f t="shared" si="1"/>
        <v>2.7419354838709609</v>
      </c>
      <c r="H21" s="4">
        <f t="shared" si="22"/>
        <v>0</v>
      </c>
      <c r="I21" s="2" t="b">
        <f>H21&lt;=-$F$128</f>
        <v>0</v>
      </c>
      <c r="J21" s="1">
        <v>91</v>
      </c>
      <c r="K21" s="4">
        <f t="shared" si="2"/>
        <v>1.2903225806451672</v>
      </c>
      <c r="L21" s="4">
        <f t="shared" si="23"/>
        <v>0</v>
      </c>
      <c r="M21" s="2" t="b">
        <f>L21&lt;=-$J$128</f>
        <v>0</v>
      </c>
      <c r="N21" s="1">
        <v>90</v>
      </c>
      <c r="O21" s="4">
        <f t="shared" si="3"/>
        <v>2.3548387096774235</v>
      </c>
      <c r="P21" s="4">
        <f t="shared" si="24"/>
        <v>-20.539435909878769</v>
      </c>
      <c r="Q21" s="2" t="b">
        <f>P21&lt;=-$N$128</f>
        <v>0</v>
      </c>
      <c r="R21" s="1">
        <v>99</v>
      </c>
      <c r="S21" s="4">
        <f t="shared" si="4"/>
        <v>7.2580645161290391</v>
      </c>
      <c r="T21" s="4">
        <f t="shared" si="25"/>
        <v>0</v>
      </c>
      <c r="U21" s="2" t="b">
        <f>T21&lt;=-$R$128</f>
        <v>0</v>
      </c>
      <c r="V21" s="1">
        <v>87</v>
      </c>
      <c r="W21" s="4">
        <f t="shared" si="5"/>
        <v>0.25806451612903913</v>
      </c>
      <c r="X21" s="4">
        <f t="shared" si="26"/>
        <v>0</v>
      </c>
      <c r="Y21" s="2" t="b">
        <f>X21&lt;=-$V$128</f>
        <v>0</v>
      </c>
      <c r="Z21" s="1">
        <v>91</v>
      </c>
      <c r="AA21" s="4">
        <f t="shared" si="6"/>
        <v>1.7419354838709609</v>
      </c>
      <c r="AB21" s="4">
        <f t="shared" si="27"/>
        <v>0</v>
      </c>
      <c r="AC21" s="2" t="b">
        <f>AB21&lt;=-$Z$128</f>
        <v>0</v>
      </c>
      <c r="AD21" s="1">
        <v>88</v>
      </c>
      <c r="AE21" s="4">
        <f t="shared" si="7"/>
        <v>2.4193548387096797</v>
      </c>
      <c r="AF21" s="4">
        <f t="shared" si="28"/>
        <v>0</v>
      </c>
      <c r="AG21" s="2" t="b">
        <f>AF21&lt;=-$AD$128</f>
        <v>0</v>
      </c>
      <c r="AH21" s="1">
        <v>88</v>
      </c>
      <c r="AI21" s="4">
        <f t="shared" si="8"/>
        <v>0.16129032258064058</v>
      </c>
      <c r="AJ21" s="4">
        <f t="shared" si="29"/>
        <v>-6.7339751845361642</v>
      </c>
      <c r="AK21" s="2" t="b">
        <f>AJ21&lt;=-$AH$128</f>
        <v>0</v>
      </c>
      <c r="AL21" s="1">
        <v>89</v>
      </c>
      <c r="AM21" s="4">
        <f t="shared" si="9"/>
        <v>2.0645161290322562</v>
      </c>
      <c r="AN21" s="4">
        <f t="shared" si="30"/>
        <v>0</v>
      </c>
      <c r="AO21" s="2" t="b">
        <f>AN21&lt;=-$AL$128</f>
        <v>0</v>
      </c>
      <c r="AP21" s="1">
        <v>93</v>
      </c>
      <c r="AQ21" s="4">
        <f t="shared" si="10"/>
        <v>2.8064516129032313</v>
      </c>
      <c r="AR21" s="4">
        <f t="shared" si="31"/>
        <v>0</v>
      </c>
      <c r="AS21" s="2" t="b">
        <f>AR21&lt;=-$AP$128</f>
        <v>0</v>
      </c>
      <c r="AT21" s="1">
        <v>86</v>
      </c>
      <c r="AU21" s="4">
        <f t="shared" si="11"/>
        <v>-0.41935483870967971</v>
      </c>
      <c r="AV21" s="4">
        <f t="shared" si="32"/>
        <v>0</v>
      </c>
      <c r="AW21" s="2" t="b">
        <f>AV21&lt;=-$AT$128</f>
        <v>0</v>
      </c>
      <c r="AX21" s="1">
        <v>94</v>
      </c>
      <c r="AY21" s="4">
        <f t="shared" si="12"/>
        <v>4.8387096774193594</v>
      </c>
      <c r="AZ21" s="4">
        <f t="shared" si="33"/>
        <v>0</v>
      </c>
      <c r="BA21" s="2" t="b">
        <f>AZ21&lt;=-$AX$128</f>
        <v>0</v>
      </c>
      <c r="BB21" s="1">
        <v>82</v>
      </c>
      <c r="BC21" s="4">
        <f t="shared" si="13"/>
        <v>-4.6451612903225765</v>
      </c>
      <c r="BD21" s="4">
        <f t="shared" si="34"/>
        <v>-10.396327070107501</v>
      </c>
      <c r="BE21" s="2" t="b">
        <f>BD21&lt;=-$BB$128</f>
        <v>0</v>
      </c>
      <c r="BF21" s="1">
        <v>91</v>
      </c>
      <c r="BG21" s="4">
        <f t="shared" si="14"/>
        <v>-0.25806451612903913</v>
      </c>
      <c r="BH21" s="4">
        <f t="shared" si="35"/>
        <v>-6.1461998582777477</v>
      </c>
      <c r="BI21" s="2" t="b">
        <f>BH21&lt;=-$BF$128</f>
        <v>0</v>
      </c>
      <c r="BJ21" s="1">
        <v>91</v>
      </c>
      <c r="BK21" s="4">
        <f t="shared" si="15"/>
        <v>-0.93548387096774377</v>
      </c>
      <c r="BL21" s="4">
        <f t="shared" si="36"/>
        <v>-15.392566330794487</v>
      </c>
      <c r="BM21" s="2" t="b">
        <f>BL21&lt;=-$BJ$128</f>
        <v>0</v>
      </c>
      <c r="BN21" s="1">
        <v>84</v>
      </c>
      <c r="BO21" s="4">
        <f t="shared" si="16"/>
        <v>-10.096774193548384</v>
      </c>
      <c r="BP21" s="4">
        <f t="shared" si="37"/>
        <v>-21.041961733940823</v>
      </c>
      <c r="BQ21" s="2" t="b">
        <f>BP21&lt;=-$BN$128</f>
        <v>0</v>
      </c>
      <c r="BR21" s="1">
        <v>86</v>
      </c>
      <c r="BS21" s="4">
        <f t="shared" si="17"/>
        <v>1.2903225806451672</v>
      </c>
      <c r="BT21" s="4">
        <f t="shared" si="38"/>
        <v>0</v>
      </c>
      <c r="BU21" s="2" t="b">
        <f>BT21&lt;=-$BR$128</f>
        <v>0</v>
      </c>
      <c r="BV21" s="1">
        <v>76</v>
      </c>
      <c r="BW21" s="2">
        <f t="shared" si="18"/>
        <v>-10.612903225806448</v>
      </c>
      <c r="BX21" s="4">
        <f t="shared" si="39"/>
        <v>-12.104479406757262</v>
      </c>
      <c r="BY21" s="2" t="b">
        <f>BX21&lt;=-$BV$128</f>
        <v>0</v>
      </c>
      <c r="BZ21" s="1">
        <v>93</v>
      </c>
      <c r="CA21" s="2">
        <f t="shared" si="19"/>
        <v>2.9354838709677438</v>
      </c>
      <c r="CB21" s="4">
        <f t="shared" si="40"/>
        <v>0</v>
      </c>
      <c r="CC21" s="2" t="b">
        <f t="shared" si="20"/>
        <v>0</v>
      </c>
    </row>
    <row r="22" spans="1:81" x14ac:dyDescent="0.2">
      <c r="A22" s="3">
        <v>45859</v>
      </c>
      <c r="B22" s="1">
        <v>91</v>
      </c>
      <c r="C22" s="2">
        <f t="shared" si="0"/>
        <v>-0.19354838709676869</v>
      </c>
      <c r="D22" s="4">
        <f t="shared" si="21"/>
        <v>0</v>
      </c>
      <c r="E22" s="2" t="b">
        <f>D22&lt;=-$B$128</f>
        <v>0</v>
      </c>
      <c r="F22" s="1">
        <v>89</v>
      </c>
      <c r="G22" s="4">
        <f t="shared" si="1"/>
        <v>1.7419354838709609</v>
      </c>
      <c r="H22" s="4">
        <f t="shared" si="22"/>
        <v>0</v>
      </c>
      <c r="I22" s="2" t="b">
        <f>H22&lt;=-$F$128</f>
        <v>0</v>
      </c>
      <c r="J22" s="1">
        <v>91</v>
      </c>
      <c r="K22" s="4">
        <f t="shared" si="2"/>
        <v>1.2903225806451672</v>
      </c>
      <c r="L22" s="4">
        <f t="shared" si="23"/>
        <v>0</v>
      </c>
      <c r="M22" s="2" t="b">
        <f>L22&lt;=-$J$128</f>
        <v>0</v>
      </c>
      <c r="N22" s="1">
        <v>90</v>
      </c>
      <c r="O22" s="4">
        <f t="shared" si="3"/>
        <v>2.3548387096774235</v>
      </c>
      <c r="P22" s="4">
        <f t="shared" si="24"/>
        <v>-15.293379500866646</v>
      </c>
      <c r="Q22" s="2" t="b">
        <f>P22&lt;=-$N$128</f>
        <v>0</v>
      </c>
      <c r="R22" s="1">
        <v>93</v>
      </c>
      <c r="S22" s="4">
        <f t="shared" si="4"/>
        <v>1.2580645161290391</v>
      </c>
      <c r="T22" s="4">
        <f t="shared" si="25"/>
        <v>0</v>
      </c>
      <c r="U22" s="2" t="b">
        <f>T22&lt;=-$R$128</f>
        <v>0</v>
      </c>
      <c r="V22" s="1">
        <v>84</v>
      </c>
      <c r="W22" s="4">
        <f t="shared" si="5"/>
        <v>-2.7419354838709609</v>
      </c>
      <c r="X22" s="4">
        <f t="shared" si="26"/>
        <v>-1.4383011925179761</v>
      </c>
      <c r="Y22" s="2" t="b">
        <f>X22&lt;=-$V$128</f>
        <v>0</v>
      </c>
      <c r="Z22" s="1">
        <v>95</v>
      </c>
      <c r="AA22" s="4">
        <f t="shared" si="6"/>
        <v>5.7419354838709609</v>
      </c>
      <c r="AB22" s="4">
        <f t="shared" si="27"/>
        <v>0</v>
      </c>
      <c r="AC22" s="2" t="b">
        <f>AB22&lt;=-$Z$128</f>
        <v>0</v>
      </c>
      <c r="AD22" s="1">
        <v>89</v>
      </c>
      <c r="AE22" s="4">
        <f t="shared" si="7"/>
        <v>3.4193548387096797</v>
      </c>
      <c r="AF22" s="4">
        <f t="shared" si="28"/>
        <v>0</v>
      </c>
      <c r="AG22" s="2" t="b">
        <f>AF22&lt;=-$AD$128</f>
        <v>0</v>
      </c>
      <c r="AH22" s="1">
        <v>89</v>
      </c>
      <c r="AI22" s="4">
        <f t="shared" si="8"/>
        <v>1.1612903225806406</v>
      </c>
      <c r="AJ22" s="4">
        <f t="shared" si="29"/>
        <v>-4.022971048625525</v>
      </c>
      <c r="AK22" s="2" t="b">
        <f>AJ22&lt;=-$AH$128</f>
        <v>0</v>
      </c>
      <c r="AL22" s="1">
        <v>90</v>
      </c>
      <c r="AM22" s="4">
        <f t="shared" si="9"/>
        <v>3.0645161290322562</v>
      </c>
      <c r="AN22" s="4">
        <f t="shared" si="30"/>
        <v>0</v>
      </c>
      <c r="AO22" s="2" t="b">
        <f>AN22&lt;=-$AL$128</f>
        <v>0</v>
      </c>
      <c r="AP22" s="1">
        <v>93</v>
      </c>
      <c r="AQ22" s="4">
        <f t="shared" si="10"/>
        <v>2.8064516129032313</v>
      </c>
      <c r="AR22" s="4">
        <f t="shared" si="31"/>
        <v>0</v>
      </c>
      <c r="AS22" s="2" t="b">
        <f>AR22&lt;=-$AP$128</f>
        <v>0</v>
      </c>
      <c r="AT22" s="1">
        <v>86</v>
      </c>
      <c r="AU22" s="4">
        <f t="shared" si="11"/>
        <v>-0.41935483870967971</v>
      </c>
      <c r="AV22" s="4">
        <f t="shared" si="32"/>
        <v>0</v>
      </c>
      <c r="AW22" s="2" t="b">
        <f>AV22&lt;=-$AT$128</f>
        <v>0</v>
      </c>
      <c r="AX22" s="1">
        <v>95</v>
      </c>
      <c r="AY22" s="4">
        <f t="shared" si="12"/>
        <v>5.8387096774193594</v>
      </c>
      <c r="AZ22" s="4">
        <f t="shared" si="33"/>
        <v>0</v>
      </c>
      <c r="BA22" s="2" t="b">
        <f>AZ22&lt;=-$AX$128</f>
        <v>0</v>
      </c>
      <c r="BB22" s="1">
        <v>86</v>
      </c>
      <c r="BC22" s="4">
        <f t="shared" si="13"/>
        <v>-0.64516129032257652</v>
      </c>
      <c r="BD22" s="4">
        <f t="shared" si="34"/>
        <v>-9.1951027601433353</v>
      </c>
      <c r="BE22" s="2" t="b">
        <f>BD22&lt;=-$BB$128</f>
        <v>0</v>
      </c>
      <c r="BF22" s="1">
        <v>94</v>
      </c>
      <c r="BG22" s="4">
        <f t="shared" si="14"/>
        <v>2.7419354838709609</v>
      </c>
      <c r="BH22" s="4">
        <f t="shared" si="35"/>
        <v>-1.3754398299332973</v>
      </c>
      <c r="BI22" s="2" t="b">
        <f>BH22&lt;=-$BF$128</f>
        <v>0</v>
      </c>
      <c r="BJ22" s="1">
        <v>92</v>
      </c>
      <c r="BK22" s="4">
        <f t="shared" si="15"/>
        <v>6.4516129032256231E-2</v>
      </c>
      <c r="BL22" s="4">
        <f t="shared" si="36"/>
        <v>-13.591504378050843</v>
      </c>
      <c r="BM22" s="2" t="b">
        <f>BL22&lt;=-$BJ$128</f>
        <v>0</v>
      </c>
      <c r="BN22" s="1">
        <v>90</v>
      </c>
      <c r="BO22" s="4">
        <f t="shared" si="16"/>
        <v>-4.0967741935483843</v>
      </c>
      <c r="BP22" s="4">
        <f t="shared" si="37"/>
        <v>-22.846157907334906</v>
      </c>
      <c r="BQ22" s="2" t="b">
        <f>BP22&lt;=-$BN$128</f>
        <v>0</v>
      </c>
      <c r="BR22" s="1">
        <v>87</v>
      </c>
      <c r="BS22" s="4">
        <f t="shared" si="17"/>
        <v>2.2903225806451672</v>
      </c>
      <c r="BT22" s="4">
        <f t="shared" si="38"/>
        <v>0</v>
      </c>
      <c r="BU22" s="2" t="b">
        <f>BT22&lt;=-$BR$128</f>
        <v>0</v>
      </c>
      <c r="BV22" s="1">
        <v>82</v>
      </c>
      <c r="BW22" s="2">
        <f t="shared" si="18"/>
        <v>-4.6129032258064484</v>
      </c>
      <c r="BX22" s="4">
        <f t="shared" si="39"/>
        <v>-14.925375288108716</v>
      </c>
      <c r="BY22" s="2" t="b">
        <f>BX22&lt;=-$BV$128</f>
        <v>0</v>
      </c>
      <c r="BZ22" s="1">
        <v>93</v>
      </c>
      <c r="CA22" s="2">
        <f t="shared" si="19"/>
        <v>2.9354838709677438</v>
      </c>
      <c r="CB22" s="4">
        <f t="shared" si="40"/>
        <v>0</v>
      </c>
      <c r="CC22" s="2" t="b">
        <f t="shared" si="20"/>
        <v>0</v>
      </c>
    </row>
    <row r="23" spans="1:81" x14ac:dyDescent="0.2">
      <c r="A23" s="3">
        <v>45860</v>
      </c>
      <c r="B23" s="1">
        <v>95</v>
      </c>
      <c r="C23" s="2">
        <f t="shared" si="0"/>
        <v>3.8064516129032313</v>
      </c>
      <c r="D23" s="4">
        <f t="shared" si="21"/>
        <v>0</v>
      </c>
      <c r="E23" s="2" t="b">
        <f>D23&lt;=-$B$128</f>
        <v>0</v>
      </c>
      <c r="F23" s="1">
        <v>84</v>
      </c>
      <c r="G23" s="4">
        <f t="shared" si="1"/>
        <v>-3.2580645161290391</v>
      </c>
      <c r="H23" s="4">
        <f t="shared" si="22"/>
        <v>-1.0445915965767361</v>
      </c>
      <c r="I23" s="2" t="b">
        <f>H23&lt;=-$F$128</f>
        <v>0</v>
      </c>
      <c r="J23" s="1">
        <v>89</v>
      </c>
      <c r="K23" s="4">
        <f t="shared" si="2"/>
        <v>-0.70967741935483275</v>
      </c>
      <c r="L23" s="4">
        <f t="shared" si="23"/>
        <v>0</v>
      </c>
      <c r="M23" s="2" t="b">
        <f>L23&lt;=-$J$128</f>
        <v>0</v>
      </c>
      <c r="N23" s="1">
        <v>91</v>
      </c>
      <c r="O23" s="4">
        <f t="shared" si="3"/>
        <v>3.3548387096774235</v>
      </c>
      <c r="P23" s="4">
        <f t="shared" si="24"/>
        <v>-9.0473230918545227</v>
      </c>
      <c r="Q23" s="2" t="b">
        <f>P23&lt;=-$N$128</f>
        <v>0</v>
      </c>
      <c r="R23" s="1">
        <v>96</v>
      </c>
      <c r="S23" s="4">
        <f t="shared" si="4"/>
        <v>4.2580645161290391</v>
      </c>
      <c r="T23" s="4">
        <f t="shared" si="25"/>
        <v>0</v>
      </c>
      <c r="U23" s="2" t="b">
        <f>T23&lt;=-$R$128</f>
        <v>0</v>
      </c>
      <c r="V23" s="1">
        <v>87</v>
      </c>
      <c r="W23" s="4">
        <f t="shared" si="5"/>
        <v>0.25806451612903913</v>
      </c>
      <c r="X23" s="4">
        <f t="shared" si="26"/>
        <v>0</v>
      </c>
      <c r="Y23" s="2" t="b">
        <f>X23&lt;=-$V$128</f>
        <v>0</v>
      </c>
      <c r="Z23" s="1">
        <v>91</v>
      </c>
      <c r="AA23" s="4">
        <f t="shared" si="6"/>
        <v>1.7419354838709609</v>
      </c>
      <c r="AB23" s="4">
        <f t="shared" si="27"/>
        <v>0</v>
      </c>
      <c r="AC23" s="2" t="b">
        <f>AB23&lt;=-$Z$128</f>
        <v>0</v>
      </c>
      <c r="AD23" s="1">
        <v>86</v>
      </c>
      <c r="AE23" s="4">
        <f t="shared" si="7"/>
        <v>0.41935483870967971</v>
      </c>
      <c r="AF23" s="4">
        <f t="shared" si="28"/>
        <v>0</v>
      </c>
      <c r="AG23" s="2" t="b">
        <f>AF23&lt;=-$AD$128</f>
        <v>0</v>
      </c>
      <c r="AH23" s="1">
        <v>89</v>
      </c>
      <c r="AI23" s="4">
        <f t="shared" si="8"/>
        <v>1.1612903225806406</v>
      </c>
      <c r="AJ23" s="4">
        <f t="shared" si="29"/>
        <v>-1.3119669127148856</v>
      </c>
      <c r="AK23" s="2" t="b">
        <f>AJ23&lt;=-$AH$128</f>
        <v>0</v>
      </c>
      <c r="AL23" s="1">
        <v>91</v>
      </c>
      <c r="AM23" s="4">
        <f t="shared" si="9"/>
        <v>4.0645161290322562</v>
      </c>
      <c r="AN23" s="4">
        <f t="shared" si="30"/>
        <v>0</v>
      </c>
      <c r="AO23" s="2" t="b">
        <f>AN23&lt;=-$AL$128</f>
        <v>0</v>
      </c>
      <c r="AP23" s="1">
        <v>91</v>
      </c>
      <c r="AQ23" s="4">
        <f t="shared" si="10"/>
        <v>0.80645161290323131</v>
      </c>
      <c r="AR23" s="4">
        <f t="shared" si="31"/>
        <v>0</v>
      </c>
      <c r="AS23" s="2" t="b">
        <f>AR23&lt;=-$AP$128</f>
        <v>0</v>
      </c>
      <c r="AT23" s="1">
        <v>79</v>
      </c>
      <c r="AU23" s="4">
        <f t="shared" si="11"/>
        <v>-7.4193548387096797</v>
      </c>
      <c r="AV23" s="4">
        <f t="shared" si="32"/>
        <v>-5.7421836411849752</v>
      </c>
      <c r="AW23" s="2" t="b">
        <f>AV23&lt;=-$AT$128</f>
        <v>0</v>
      </c>
      <c r="AX23" s="1">
        <v>92</v>
      </c>
      <c r="AY23" s="4">
        <f t="shared" si="12"/>
        <v>2.8387096774193594</v>
      </c>
      <c r="AZ23" s="4">
        <f t="shared" si="33"/>
        <v>0</v>
      </c>
      <c r="BA23" s="2" t="b">
        <f>AZ23&lt;=-$AX$128</f>
        <v>0</v>
      </c>
      <c r="BB23" s="1">
        <v>84</v>
      </c>
      <c r="BC23" s="4">
        <f t="shared" si="13"/>
        <v>-2.6451612903225765</v>
      </c>
      <c r="BD23" s="4">
        <f t="shared" si="34"/>
        <v>-9.9938784501791691</v>
      </c>
      <c r="BE23" s="2" t="b">
        <f>BD23&lt;=-$BB$128</f>
        <v>0</v>
      </c>
      <c r="BF23" s="1">
        <v>95</v>
      </c>
      <c r="BG23" s="4">
        <f t="shared" si="14"/>
        <v>3.7419354838709609</v>
      </c>
      <c r="BH23" s="4">
        <f t="shared" si="35"/>
        <v>0</v>
      </c>
      <c r="BI23" s="2" t="b">
        <f>BH23&lt;=-$BF$128</f>
        <v>0</v>
      </c>
      <c r="BJ23" s="1">
        <v>94</v>
      </c>
      <c r="BK23" s="4">
        <f t="shared" si="15"/>
        <v>2.0645161290322562</v>
      </c>
      <c r="BL23" s="4">
        <f t="shared" si="36"/>
        <v>-9.790442425307198</v>
      </c>
      <c r="BM23" s="2" t="b">
        <f>BL23&lt;=-$BJ$128</f>
        <v>0</v>
      </c>
      <c r="BN23" s="1">
        <v>95</v>
      </c>
      <c r="BO23" s="4">
        <f t="shared" si="16"/>
        <v>0.90322580645161565</v>
      </c>
      <c r="BP23" s="4">
        <f t="shared" si="37"/>
        <v>-19.650354080728988</v>
      </c>
      <c r="BQ23" s="2" t="b">
        <f>BP23&lt;=-$BN$128</f>
        <v>0</v>
      </c>
      <c r="BR23" s="1">
        <v>85</v>
      </c>
      <c r="BS23" s="4">
        <f t="shared" si="17"/>
        <v>0.29032258064516725</v>
      </c>
      <c r="BT23" s="4">
        <f t="shared" si="38"/>
        <v>0</v>
      </c>
      <c r="BU23" s="2" t="b">
        <f>BT23&lt;=-$BR$128</f>
        <v>0</v>
      </c>
      <c r="BV23" s="1">
        <v>83</v>
      </c>
      <c r="BW23" s="2">
        <f t="shared" si="18"/>
        <v>-3.6129032258064484</v>
      </c>
      <c r="BX23" s="4">
        <f t="shared" si="39"/>
        <v>-16.746271169460172</v>
      </c>
      <c r="BY23" s="2" t="b">
        <f>BX23&lt;=-$BV$128</f>
        <v>0</v>
      </c>
      <c r="BZ23" s="1">
        <v>92</v>
      </c>
      <c r="CA23" s="2">
        <f t="shared" si="19"/>
        <v>1.9354838709677438</v>
      </c>
      <c r="CB23" s="4">
        <f t="shared" si="40"/>
        <v>0</v>
      </c>
      <c r="CC23" s="2" t="b">
        <f t="shared" si="20"/>
        <v>0</v>
      </c>
    </row>
    <row r="24" spans="1:81" x14ac:dyDescent="0.2">
      <c r="A24" s="3">
        <v>45861</v>
      </c>
      <c r="B24" s="1">
        <v>91</v>
      </c>
      <c r="C24" s="2">
        <f t="shared" si="0"/>
        <v>-0.19354838709676869</v>
      </c>
      <c r="D24" s="4">
        <f t="shared" si="21"/>
        <v>0</v>
      </c>
      <c r="E24" s="2" t="b">
        <f>D24&lt;=-$B$128</f>
        <v>0</v>
      </c>
      <c r="F24" s="1">
        <v>87</v>
      </c>
      <c r="G24" s="4">
        <f t="shared" si="1"/>
        <v>-0.25806451612903913</v>
      </c>
      <c r="H24" s="4">
        <f t="shared" si="22"/>
        <v>0</v>
      </c>
      <c r="I24" s="2" t="b">
        <f>H24&lt;=-$F$128</f>
        <v>0</v>
      </c>
      <c r="J24" s="1">
        <v>91</v>
      </c>
      <c r="K24" s="4">
        <f t="shared" si="2"/>
        <v>1.2903225806451672</v>
      </c>
      <c r="L24" s="4">
        <f t="shared" si="23"/>
        <v>0</v>
      </c>
      <c r="M24" s="2" t="b">
        <f>L24&lt;=-$J$128</f>
        <v>0</v>
      </c>
      <c r="N24" s="1">
        <v>93</v>
      </c>
      <c r="O24" s="4">
        <f t="shared" si="3"/>
        <v>5.3548387096774235</v>
      </c>
      <c r="P24" s="4">
        <f t="shared" si="24"/>
        <v>-0.80126668284239866</v>
      </c>
      <c r="Q24" s="2" t="b">
        <f>P24&lt;=-$N$128</f>
        <v>0</v>
      </c>
      <c r="R24" s="1">
        <v>87</v>
      </c>
      <c r="S24" s="4">
        <f t="shared" si="4"/>
        <v>-4.7419354838709609</v>
      </c>
      <c r="T24" s="4">
        <f t="shared" si="25"/>
        <v>-1.9882478293021406</v>
      </c>
      <c r="U24" s="2" t="b">
        <f>T24&lt;=-$R$128</f>
        <v>0</v>
      </c>
      <c r="V24" s="1">
        <v>90</v>
      </c>
      <c r="W24" s="4">
        <f t="shared" si="5"/>
        <v>3.2580645161290391</v>
      </c>
      <c r="X24" s="4">
        <f t="shared" si="26"/>
        <v>0</v>
      </c>
      <c r="Y24" s="2" t="b">
        <f>X24&lt;=-$V$128</f>
        <v>0</v>
      </c>
      <c r="Z24" s="1">
        <v>89</v>
      </c>
      <c r="AA24" s="4">
        <f t="shared" si="6"/>
        <v>-0.25806451612903913</v>
      </c>
      <c r="AB24" s="4">
        <f t="shared" si="27"/>
        <v>0</v>
      </c>
      <c r="AC24" s="2" t="b">
        <f>AB24&lt;=-$Z$128</f>
        <v>0</v>
      </c>
      <c r="AD24" s="1">
        <v>81</v>
      </c>
      <c r="AE24" s="4">
        <f t="shared" si="7"/>
        <v>-4.5806451612903203</v>
      </c>
      <c r="AF24" s="4">
        <f t="shared" si="28"/>
        <v>-2.8352980441987699</v>
      </c>
      <c r="AG24" s="2" t="b">
        <f>AF24&lt;=-$AD$128</f>
        <v>0</v>
      </c>
      <c r="AH24" s="1">
        <v>93</v>
      </c>
      <c r="AI24" s="4">
        <f t="shared" si="8"/>
        <v>5.1612903225806406</v>
      </c>
      <c r="AJ24" s="4">
        <f t="shared" si="29"/>
        <v>0</v>
      </c>
      <c r="AK24" s="2" t="b">
        <f>AJ24&lt;=-$AH$128</f>
        <v>0</v>
      </c>
      <c r="AL24" s="1">
        <v>91</v>
      </c>
      <c r="AM24" s="4">
        <f t="shared" si="9"/>
        <v>4.0645161290322562</v>
      </c>
      <c r="AN24" s="4">
        <f t="shared" si="30"/>
        <v>0</v>
      </c>
      <c r="AO24" s="2" t="b">
        <f>AN24&lt;=-$AL$128</f>
        <v>0</v>
      </c>
      <c r="AP24" s="1">
        <v>86</v>
      </c>
      <c r="AQ24" s="4">
        <f t="shared" si="10"/>
        <v>-4.1935483870967687</v>
      </c>
      <c r="AR24" s="4">
        <f t="shared" si="31"/>
        <v>-2.0745102608127794</v>
      </c>
      <c r="AS24" s="2" t="b">
        <f>AR24&lt;=-$AP$128</f>
        <v>0</v>
      </c>
      <c r="AT24" s="1">
        <v>82</v>
      </c>
      <c r="AU24" s="4">
        <f t="shared" si="11"/>
        <v>-4.4193548387096797</v>
      </c>
      <c r="AV24" s="4">
        <f t="shared" si="32"/>
        <v>-8.4843672823699521</v>
      </c>
      <c r="AW24" s="2" t="b">
        <f>AV24&lt;=-$AT$128</f>
        <v>0</v>
      </c>
      <c r="AX24" s="1">
        <v>87</v>
      </c>
      <c r="AY24" s="4">
        <f t="shared" si="12"/>
        <v>-2.1612903225806406</v>
      </c>
      <c r="AZ24" s="4">
        <f t="shared" si="33"/>
        <v>-0.78835688043599728</v>
      </c>
      <c r="BA24" s="2" t="b">
        <f>AZ24&lt;=-$AX$128</f>
        <v>0</v>
      </c>
      <c r="BB24" s="1">
        <v>87</v>
      </c>
      <c r="BC24" s="4">
        <f t="shared" si="13"/>
        <v>0.35483870967742348</v>
      </c>
      <c r="BD24" s="4">
        <f t="shared" si="34"/>
        <v>-7.7926541402150029</v>
      </c>
      <c r="BE24" s="2" t="b">
        <f>BD24&lt;=-$BB$128</f>
        <v>0</v>
      </c>
      <c r="BF24" s="1">
        <v>97</v>
      </c>
      <c r="BG24" s="4">
        <f t="shared" si="14"/>
        <v>5.7419354838709609</v>
      </c>
      <c r="BH24" s="4">
        <f t="shared" si="35"/>
        <v>0</v>
      </c>
      <c r="BI24" s="2" t="b">
        <f>BH24&lt;=-$BF$128</f>
        <v>0</v>
      </c>
      <c r="BJ24" s="1">
        <v>92</v>
      </c>
      <c r="BK24" s="4">
        <f t="shared" si="15"/>
        <v>6.4516129032256231E-2</v>
      </c>
      <c r="BL24" s="4">
        <f t="shared" si="36"/>
        <v>-7.9893804725635533</v>
      </c>
      <c r="BM24" s="2" t="b">
        <f>BL24&lt;=-$BJ$128</f>
        <v>0</v>
      </c>
      <c r="BN24" s="1">
        <v>97</v>
      </c>
      <c r="BO24" s="4">
        <f t="shared" si="16"/>
        <v>2.9032258064516157</v>
      </c>
      <c r="BP24" s="4">
        <f t="shared" si="37"/>
        <v>-14.45455025412307</v>
      </c>
      <c r="BQ24" s="2" t="b">
        <f>BP24&lt;=-$BN$128</f>
        <v>0</v>
      </c>
      <c r="BR24" s="1">
        <v>84</v>
      </c>
      <c r="BS24" s="4">
        <f t="shared" si="17"/>
        <v>-0.70967741935483275</v>
      </c>
      <c r="BT24" s="4">
        <f t="shared" si="38"/>
        <v>0</v>
      </c>
      <c r="BU24" s="2" t="b">
        <f>BT24&lt;=-$BR$128</f>
        <v>0</v>
      </c>
      <c r="BV24" s="1">
        <v>88</v>
      </c>
      <c r="BW24" s="2">
        <f t="shared" si="18"/>
        <v>1.3870967741935516</v>
      </c>
      <c r="BX24" s="4">
        <f t="shared" si="39"/>
        <v>-13.567167050811625</v>
      </c>
      <c r="BY24" s="2" t="b">
        <f>BX24&lt;=-$BV$128</f>
        <v>0</v>
      </c>
      <c r="BZ24" s="1">
        <v>88</v>
      </c>
      <c r="CA24" s="2">
        <f t="shared" si="19"/>
        <v>-2.0645161290322562</v>
      </c>
      <c r="CB24" s="4">
        <f t="shared" si="40"/>
        <v>-0.28530523713397793</v>
      </c>
      <c r="CC24" s="2" t="b">
        <f t="shared" si="20"/>
        <v>0</v>
      </c>
    </row>
    <row r="25" spans="1:81" x14ac:dyDescent="0.2">
      <c r="A25" s="3">
        <v>45862</v>
      </c>
      <c r="B25" s="1">
        <v>93</v>
      </c>
      <c r="C25" s="2">
        <f t="shared" si="0"/>
        <v>1.8064516129032313</v>
      </c>
      <c r="D25" s="4">
        <f t="shared" si="21"/>
        <v>0</v>
      </c>
      <c r="E25" s="2" t="b">
        <f>D25&lt;=-$B$128</f>
        <v>0</v>
      </c>
      <c r="F25" s="1">
        <v>88</v>
      </c>
      <c r="G25" s="4">
        <f t="shared" si="1"/>
        <v>0.74193548387096087</v>
      </c>
      <c r="H25" s="4">
        <f t="shared" si="22"/>
        <v>0</v>
      </c>
      <c r="I25" s="2" t="b">
        <f>H25&lt;=-$F$128</f>
        <v>0</v>
      </c>
      <c r="J25" s="1">
        <v>91</v>
      </c>
      <c r="K25" s="4">
        <f t="shared" si="2"/>
        <v>1.2903225806451672</v>
      </c>
      <c r="L25" s="4">
        <f t="shared" si="23"/>
        <v>0</v>
      </c>
      <c r="M25" s="2" t="b">
        <f>L25&lt;=-$J$128</f>
        <v>0</v>
      </c>
      <c r="N25" s="1">
        <v>93</v>
      </c>
      <c r="O25" s="4">
        <f t="shared" si="3"/>
        <v>5.3548387096774235</v>
      </c>
      <c r="P25" s="4">
        <f t="shared" si="24"/>
        <v>0</v>
      </c>
      <c r="Q25" s="2" t="b">
        <f>P25&lt;=-$N$128</f>
        <v>0</v>
      </c>
      <c r="R25" s="1">
        <v>82</v>
      </c>
      <c r="S25" s="4">
        <f t="shared" si="4"/>
        <v>-9.7419354838709609</v>
      </c>
      <c r="T25" s="4">
        <f t="shared" si="25"/>
        <v>-8.9764956586042821</v>
      </c>
      <c r="U25" s="2" t="b">
        <f>T25&lt;=-$R$128</f>
        <v>0</v>
      </c>
      <c r="V25" s="1">
        <v>84</v>
      </c>
      <c r="W25" s="4">
        <f t="shared" si="5"/>
        <v>-2.7419354838709609</v>
      </c>
      <c r="X25" s="4">
        <f t="shared" si="26"/>
        <v>-1.4383011925179761</v>
      </c>
      <c r="Y25" s="2" t="b">
        <f>X25&lt;=-$V$128</f>
        <v>0</v>
      </c>
      <c r="Z25" s="1">
        <v>87</v>
      </c>
      <c r="AA25" s="4">
        <f t="shared" si="6"/>
        <v>-2.2580645161290391</v>
      </c>
      <c r="AB25" s="4">
        <f t="shared" si="27"/>
        <v>-0.38737951710023544</v>
      </c>
      <c r="AC25" s="2" t="b">
        <f>AB25&lt;=-$Z$128</f>
        <v>0</v>
      </c>
      <c r="AD25" s="1">
        <v>82</v>
      </c>
      <c r="AE25" s="4">
        <f t="shared" si="7"/>
        <v>-3.5806451612903203</v>
      </c>
      <c r="AF25" s="4">
        <f t="shared" si="28"/>
        <v>-4.6705960883975397</v>
      </c>
      <c r="AG25" s="2" t="b">
        <f>AF25&lt;=-$AD$128</f>
        <v>0</v>
      </c>
      <c r="AH25" s="1">
        <v>95</v>
      </c>
      <c r="AI25" s="4">
        <f t="shared" si="8"/>
        <v>7.1612903225806406</v>
      </c>
      <c r="AJ25" s="4">
        <f t="shared" si="29"/>
        <v>0</v>
      </c>
      <c r="AK25" s="2" t="b">
        <f>AJ25&lt;=-$AH$128</f>
        <v>0</v>
      </c>
      <c r="AL25" s="1">
        <v>90</v>
      </c>
      <c r="AM25" s="4">
        <f t="shared" si="9"/>
        <v>3.0645161290322562</v>
      </c>
      <c r="AN25" s="4">
        <f t="shared" si="30"/>
        <v>0</v>
      </c>
      <c r="AO25" s="2" t="b">
        <f>AN25&lt;=-$AL$128</f>
        <v>0</v>
      </c>
      <c r="AP25" s="1">
        <v>87</v>
      </c>
      <c r="AQ25" s="4">
        <f t="shared" si="10"/>
        <v>-3.1935483870967687</v>
      </c>
      <c r="AR25" s="4">
        <f t="shared" si="31"/>
        <v>-3.1490205216255589</v>
      </c>
      <c r="AS25" s="2" t="b">
        <f>AR25&lt;=-$AP$128</f>
        <v>0</v>
      </c>
      <c r="AT25" s="1">
        <v>87</v>
      </c>
      <c r="AU25" s="4">
        <f t="shared" si="11"/>
        <v>0.58064516129032029</v>
      </c>
      <c r="AV25" s="4">
        <f t="shared" si="32"/>
        <v>-6.2265509235549272</v>
      </c>
      <c r="AW25" s="2" t="b">
        <f>AV25&lt;=-$AT$128</f>
        <v>0</v>
      </c>
      <c r="AX25" s="1">
        <v>88</v>
      </c>
      <c r="AY25" s="4">
        <f t="shared" si="12"/>
        <v>-1.1612903225806406</v>
      </c>
      <c r="AZ25" s="4">
        <f t="shared" si="33"/>
        <v>-0.57671376087199455</v>
      </c>
      <c r="BA25" s="2" t="b">
        <f>AZ25&lt;=-$AX$128</f>
        <v>0</v>
      </c>
      <c r="BB25" s="1">
        <v>88</v>
      </c>
      <c r="BC25" s="4">
        <f t="shared" si="13"/>
        <v>1.3548387096774235</v>
      </c>
      <c r="BD25" s="4">
        <f t="shared" si="34"/>
        <v>-4.5914298302508367</v>
      </c>
      <c r="BE25" s="2" t="b">
        <f>BD25&lt;=-$BB$128</f>
        <v>0</v>
      </c>
      <c r="BF25" s="1">
        <v>94</v>
      </c>
      <c r="BG25" s="4">
        <f t="shared" si="14"/>
        <v>2.7419354838709609</v>
      </c>
      <c r="BH25" s="4">
        <f t="shared" si="35"/>
        <v>0</v>
      </c>
      <c r="BI25" s="2" t="b">
        <f>BH25&lt;=-$BF$128</f>
        <v>0</v>
      </c>
      <c r="BJ25" s="1">
        <v>92</v>
      </c>
      <c r="BK25" s="4">
        <f t="shared" si="15"/>
        <v>6.4516129032256231E-2</v>
      </c>
      <c r="BL25" s="4">
        <f t="shared" si="36"/>
        <v>-6.1883185198199087</v>
      </c>
      <c r="BM25" s="2" t="b">
        <f>BL25&lt;=-$BJ$128</f>
        <v>0</v>
      </c>
      <c r="BN25" s="1">
        <v>97</v>
      </c>
      <c r="BO25" s="4">
        <f t="shared" si="16"/>
        <v>2.9032258064516157</v>
      </c>
      <c r="BP25" s="4">
        <f t="shared" si="37"/>
        <v>-9.2587464275171527</v>
      </c>
      <c r="BQ25" s="2" t="b">
        <f>BP25&lt;=-$BN$128</f>
        <v>0</v>
      </c>
      <c r="BR25" s="1">
        <v>86</v>
      </c>
      <c r="BS25" s="4">
        <f t="shared" si="17"/>
        <v>1.2903225806451672</v>
      </c>
      <c r="BT25" s="4">
        <f t="shared" si="38"/>
        <v>0</v>
      </c>
      <c r="BU25" s="2" t="b">
        <f>BT25&lt;=-$BR$128</f>
        <v>0</v>
      </c>
      <c r="BV25" s="1">
        <v>87</v>
      </c>
      <c r="BW25" s="2">
        <f t="shared" si="18"/>
        <v>0.3870967741935516</v>
      </c>
      <c r="BX25" s="4">
        <f t="shared" si="39"/>
        <v>-11.388062932163077</v>
      </c>
      <c r="BY25" s="2" t="b">
        <f>BX25&lt;=-$BV$128</f>
        <v>0</v>
      </c>
      <c r="BZ25" s="1">
        <v>91</v>
      </c>
      <c r="CA25" s="2">
        <f t="shared" si="19"/>
        <v>0.93548387096774377</v>
      </c>
      <c r="CB25" s="4">
        <f t="shared" si="40"/>
        <v>0</v>
      </c>
      <c r="CC25" s="2" t="b">
        <f t="shared" si="20"/>
        <v>0</v>
      </c>
    </row>
    <row r="26" spans="1:81" x14ac:dyDescent="0.2">
      <c r="A26" s="3">
        <v>45863</v>
      </c>
      <c r="B26" s="1">
        <v>84</v>
      </c>
      <c r="C26" s="2">
        <f t="shared" si="0"/>
        <v>-7.1935483870967687</v>
      </c>
      <c r="D26" s="4">
        <f t="shared" si="21"/>
        <v>-4.7426323854125361</v>
      </c>
      <c r="E26" s="2" t="b">
        <f>D26&lt;=-$B$128</f>
        <v>0</v>
      </c>
      <c r="F26" s="1">
        <v>89</v>
      </c>
      <c r="G26" s="4">
        <f t="shared" si="1"/>
        <v>1.7419354838709609</v>
      </c>
      <c r="H26" s="4">
        <f t="shared" si="22"/>
        <v>0</v>
      </c>
      <c r="I26" s="2" t="b">
        <f>H26&lt;=-$F$128</f>
        <v>0</v>
      </c>
      <c r="J26" s="1">
        <v>86</v>
      </c>
      <c r="K26" s="4">
        <f t="shared" si="2"/>
        <v>-3.7096774193548328</v>
      </c>
      <c r="L26" s="4">
        <f t="shared" si="23"/>
        <v>-2.1865580960192381</v>
      </c>
      <c r="M26" s="2" t="b">
        <f>L26&lt;=-$J$128</f>
        <v>0</v>
      </c>
      <c r="N26" s="1">
        <v>91</v>
      </c>
      <c r="O26" s="4">
        <f t="shared" si="3"/>
        <v>3.3548387096774235</v>
      </c>
      <c r="P26" s="4">
        <f t="shared" si="24"/>
        <v>0</v>
      </c>
      <c r="Q26" s="2" t="b">
        <f>P26&lt;=-$N$128</f>
        <v>0</v>
      </c>
      <c r="R26" s="1">
        <v>75</v>
      </c>
      <c r="S26" s="4">
        <f t="shared" si="4"/>
        <v>-16.741935483870961</v>
      </c>
      <c r="T26" s="4">
        <f t="shared" si="25"/>
        <v>-22.964743487906421</v>
      </c>
      <c r="U26" s="9" t="b">
        <f>T26&lt;=-$R$128</f>
        <v>0</v>
      </c>
      <c r="V26" s="1">
        <v>82</v>
      </c>
      <c r="W26" s="4">
        <f t="shared" si="5"/>
        <v>-4.7419354838709609</v>
      </c>
      <c r="X26" s="4">
        <f t="shared" si="26"/>
        <v>-4.8766023850359517</v>
      </c>
      <c r="Y26" s="2" t="b">
        <f>X26&lt;=-$V$128</f>
        <v>0</v>
      </c>
      <c r="Z26" s="1">
        <v>84</v>
      </c>
      <c r="AA26" s="4">
        <f t="shared" si="6"/>
        <v>-5.2580645161290391</v>
      </c>
      <c r="AB26" s="4">
        <f t="shared" si="27"/>
        <v>-3.7747590342004713</v>
      </c>
      <c r="AC26" s="2" t="b">
        <f>AB26&lt;=-$Z$128</f>
        <v>0</v>
      </c>
      <c r="AD26" s="1">
        <v>84</v>
      </c>
      <c r="AE26" s="4">
        <f t="shared" si="7"/>
        <v>-1.5806451612903203</v>
      </c>
      <c r="AF26" s="4">
        <f t="shared" si="28"/>
        <v>-4.5058941325963096</v>
      </c>
      <c r="AG26" s="2" t="b">
        <f>AF26&lt;=-$AD$128</f>
        <v>0</v>
      </c>
      <c r="AH26" s="1">
        <v>89</v>
      </c>
      <c r="AI26" s="4">
        <f t="shared" si="8"/>
        <v>1.1612903225806406</v>
      </c>
      <c r="AJ26" s="4">
        <f t="shared" si="29"/>
        <v>0</v>
      </c>
      <c r="AK26" s="2" t="b">
        <f>AJ26&lt;=-$AH$128</f>
        <v>0</v>
      </c>
      <c r="AL26" s="1">
        <v>92</v>
      </c>
      <c r="AM26" s="4">
        <f t="shared" si="9"/>
        <v>5.0645161290322562</v>
      </c>
      <c r="AN26" s="4">
        <f t="shared" si="30"/>
        <v>0</v>
      </c>
      <c r="AO26" s="2" t="b">
        <f>AN26&lt;=-$AL$128</f>
        <v>0</v>
      </c>
      <c r="AP26" s="1">
        <v>88</v>
      </c>
      <c r="AQ26" s="4">
        <f t="shared" si="10"/>
        <v>-2.1935483870967687</v>
      </c>
      <c r="AR26" s="4">
        <f t="shared" si="31"/>
        <v>-3.2235307824383383</v>
      </c>
      <c r="AS26" s="2" t="b">
        <f>AR26&lt;=-$AP$128</f>
        <v>0</v>
      </c>
      <c r="AT26" s="1">
        <v>87</v>
      </c>
      <c r="AU26" s="4">
        <f t="shared" si="11"/>
        <v>0.58064516129032029</v>
      </c>
      <c r="AV26" s="4">
        <f t="shared" si="32"/>
        <v>-3.9687345647399024</v>
      </c>
      <c r="AW26" s="2" t="b">
        <f>AV26&lt;=-$AT$128</f>
        <v>0</v>
      </c>
      <c r="AX26" s="1">
        <v>89</v>
      </c>
      <c r="AY26" s="4">
        <f t="shared" si="12"/>
        <v>-0.16129032258064058</v>
      </c>
      <c r="AZ26" s="4">
        <f t="shared" si="33"/>
        <v>0</v>
      </c>
      <c r="BA26" s="2" t="b">
        <f>AZ26&lt;=-$AX$128</f>
        <v>0</v>
      </c>
      <c r="BB26" s="1">
        <v>90</v>
      </c>
      <c r="BC26" s="4">
        <f t="shared" si="13"/>
        <v>3.3548387096774235</v>
      </c>
      <c r="BD26" s="4">
        <f t="shared" si="34"/>
        <v>0</v>
      </c>
      <c r="BE26" s="2" t="b">
        <f>BD26&lt;=-$BB$128</f>
        <v>0</v>
      </c>
      <c r="BF26" s="1">
        <v>95</v>
      </c>
      <c r="BG26" s="4">
        <f t="shared" si="14"/>
        <v>3.7419354838709609</v>
      </c>
      <c r="BH26" s="4">
        <f t="shared" si="35"/>
        <v>0</v>
      </c>
      <c r="BI26" s="2" t="b">
        <f>BH26&lt;=-$BF$128</f>
        <v>0</v>
      </c>
      <c r="BJ26" s="1">
        <v>90</v>
      </c>
      <c r="BK26" s="4">
        <f t="shared" si="15"/>
        <v>-1.9354838709677438</v>
      </c>
      <c r="BL26" s="4">
        <f t="shared" si="36"/>
        <v>-6.387256567076264</v>
      </c>
      <c r="BM26" s="2" t="b">
        <f>BL26&lt;=-$BJ$128</f>
        <v>0</v>
      </c>
      <c r="BN26" s="1">
        <v>98</v>
      </c>
      <c r="BO26" s="4">
        <f t="shared" si="16"/>
        <v>3.9032258064516157</v>
      </c>
      <c r="BP26" s="4">
        <f t="shared" si="37"/>
        <v>-3.0629426009112342</v>
      </c>
      <c r="BQ26" s="2" t="b">
        <f>BP26&lt;=-$BN$128</f>
        <v>0</v>
      </c>
      <c r="BR26" s="1">
        <v>89</v>
      </c>
      <c r="BS26" s="4">
        <f t="shared" si="17"/>
        <v>4.2903225806451672</v>
      </c>
      <c r="BT26" s="4">
        <f t="shared" si="38"/>
        <v>0</v>
      </c>
      <c r="BU26" s="2" t="b">
        <f>BT26&lt;=-$BR$128</f>
        <v>0</v>
      </c>
      <c r="BV26" s="1">
        <v>88</v>
      </c>
      <c r="BW26" s="2">
        <f t="shared" si="18"/>
        <v>1.3870967741935516</v>
      </c>
      <c r="BX26" s="4">
        <f t="shared" si="39"/>
        <v>-8.2089588135145295</v>
      </c>
      <c r="BY26" s="2" t="b">
        <f>BX26&lt;=-$BV$128</f>
        <v>0</v>
      </c>
      <c r="BZ26" s="1">
        <v>90</v>
      </c>
      <c r="CA26" s="2">
        <f t="shared" si="19"/>
        <v>-6.4516129032256231E-2</v>
      </c>
      <c r="CB26" s="4">
        <f t="shared" si="40"/>
        <v>0</v>
      </c>
      <c r="CC26" s="2" t="b">
        <f t="shared" si="20"/>
        <v>0</v>
      </c>
    </row>
    <row r="27" spans="1:81" x14ac:dyDescent="0.2">
      <c r="A27" s="3">
        <v>45864</v>
      </c>
      <c r="B27" s="1">
        <v>84</v>
      </c>
      <c r="C27" s="2">
        <f t="shared" si="0"/>
        <v>-7.1935483870967687</v>
      </c>
      <c r="D27" s="4">
        <f t="shared" si="21"/>
        <v>-9.4852647708250721</v>
      </c>
      <c r="E27" s="2" t="b">
        <f>D27&lt;=-$B$128</f>
        <v>0</v>
      </c>
      <c r="F27" s="1">
        <v>89</v>
      </c>
      <c r="G27" s="4">
        <f t="shared" si="1"/>
        <v>1.7419354838709609</v>
      </c>
      <c r="H27" s="4">
        <f t="shared" si="22"/>
        <v>0</v>
      </c>
      <c r="I27" s="2" t="b">
        <f>H27&lt;=-$F$128</f>
        <v>0</v>
      </c>
      <c r="J27" s="1">
        <v>88</v>
      </c>
      <c r="K27" s="4">
        <f t="shared" si="2"/>
        <v>-1.7096774193548328</v>
      </c>
      <c r="L27" s="4">
        <f t="shared" si="23"/>
        <v>-2.3731161920384762</v>
      </c>
      <c r="M27" s="2" t="b">
        <f>L27&lt;=-$J$128</f>
        <v>0</v>
      </c>
      <c r="N27" s="1">
        <v>93</v>
      </c>
      <c r="O27" s="4">
        <f t="shared" si="3"/>
        <v>5.3548387096774235</v>
      </c>
      <c r="P27" s="4">
        <f t="shared" si="24"/>
        <v>0</v>
      </c>
      <c r="Q27" s="2" t="b">
        <f>P27&lt;=-$N$128</f>
        <v>0</v>
      </c>
      <c r="R27" s="1">
        <v>82</v>
      </c>
      <c r="S27" s="4">
        <f t="shared" si="4"/>
        <v>-9.7419354838709609</v>
      </c>
      <c r="T27" s="4">
        <f t="shared" si="25"/>
        <v>-29.952991317208557</v>
      </c>
      <c r="U27" s="2" t="b">
        <f>T27&lt;=-$R$128</f>
        <v>1</v>
      </c>
      <c r="V27" s="1">
        <v>88</v>
      </c>
      <c r="W27" s="4">
        <f t="shared" si="5"/>
        <v>1.2580645161290391</v>
      </c>
      <c r="X27" s="4">
        <f t="shared" si="26"/>
        <v>-2.3149035775539275</v>
      </c>
      <c r="Y27" s="2" t="b">
        <f>X27&lt;=-$V$128</f>
        <v>0</v>
      </c>
      <c r="Z27" s="1">
        <v>86</v>
      </c>
      <c r="AA27" s="4">
        <f t="shared" si="6"/>
        <v>-3.2580645161290391</v>
      </c>
      <c r="AB27" s="4">
        <f t="shared" si="27"/>
        <v>-5.162138551300707</v>
      </c>
      <c r="AC27" s="2" t="b">
        <f>AB27&lt;=-$Z$128</f>
        <v>0</v>
      </c>
      <c r="AD27" s="1">
        <v>87</v>
      </c>
      <c r="AE27" s="4">
        <f t="shared" si="7"/>
        <v>1.4193548387096797</v>
      </c>
      <c r="AF27" s="4">
        <f t="shared" si="28"/>
        <v>-1.3411921767950796</v>
      </c>
      <c r="AG27" s="2" t="b">
        <f>AF27&lt;=-$AD$128</f>
        <v>0</v>
      </c>
      <c r="AH27" s="1">
        <v>87</v>
      </c>
      <c r="AI27" s="4">
        <f t="shared" si="8"/>
        <v>-0.83870967741935942</v>
      </c>
      <c r="AJ27" s="4">
        <f t="shared" si="29"/>
        <v>0</v>
      </c>
      <c r="AK27" s="2" t="b">
        <f>AJ27&lt;=-$AH$128</f>
        <v>0</v>
      </c>
      <c r="AL27" s="1">
        <v>94</v>
      </c>
      <c r="AM27" s="4">
        <f t="shared" si="9"/>
        <v>7.0645161290322562</v>
      </c>
      <c r="AN27" s="4">
        <f t="shared" si="30"/>
        <v>0</v>
      </c>
      <c r="AO27" s="2" t="b">
        <f>AN27&lt;=-$AL$128</f>
        <v>0</v>
      </c>
      <c r="AP27" s="1">
        <v>93</v>
      </c>
      <c r="AQ27" s="4">
        <f t="shared" si="10"/>
        <v>2.8064516129032313</v>
      </c>
      <c r="AR27" s="4">
        <f t="shared" si="31"/>
        <v>0</v>
      </c>
      <c r="AS27" s="2" t="b">
        <f>AR27&lt;=-$AP$128</f>
        <v>0</v>
      </c>
      <c r="AT27" s="1">
        <v>87</v>
      </c>
      <c r="AU27" s="4">
        <f t="shared" si="11"/>
        <v>0.58064516129032029</v>
      </c>
      <c r="AV27" s="4">
        <f t="shared" si="32"/>
        <v>-1.7109182059248778</v>
      </c>
      <c r="AW27" s="2" t="b">
        <f>AV27&lt;=-$AT$128</f>
        <v>0</v>
      </c>
      <c r="AX27" s="1">
        <v>87</v>
      </c>
      <c r="AY27" s="4">
        <f t="shared" si="12"/>
        <v>-2.1612903225806406</v>
      </c>
      <c r="AZ27" s="4">
        <f t="shared" si="33"/>
        <v>-0.78835688043599728</v>
      </c>
      <c r="BA27" s="2" t="b">
        <f>AZ27&lt;=-$AX$128</f>
        <v>0</v>
      </c>
      <c r="BB27" s="1">
        <v>92</v>
      </c>
      <c r="BC27" s="4">
        <f t="shared" si="13"/>
        <v>5.3548387096774235</v>
      </c>
      <c r="BD27" s="4">
        <f t="shared" si="34"/>
        <v>0</v>
      </c>
      <c r="BE27" s="2" t="b">
        <f>BD27&lt;=-$BB$128</f>
        <v>0</v>
      </c>
      <c r="BF27" s="1">
        <v>95</v>
      </c>
      <c r="BG27" s="4">
        <f t="shared" si="14"/>
        <v>3.7419354838709609</v>
      </c>
      <c r="BH27" s="4">
        <f t="shared" si="35"/>
        <v>0</v>
      </c>
      <c r="BI27" s="2" t="b">
        <f>BH27&lt;=-$BF$128</f>
        <v>0</v>
      </c>
      <c r="BJ27" s="1">
        <v>94</v>
      </c>
      <c r="BK27" s="4">
        <f t="shared" si="15"/>
        <v>2.0645161290322562</v>
      </c>
      <c r="BL27" s="4">
        <f t="shared" si="36"/>
        <v>-2.5861946143326193</v>
      </c>
      <c r="BM27" s="2" t="b">
        <f>BL27&lt;=-$BJ$128</f>
        <v>0</v>
      </c>
      <c r="BN27" s="1">
        <v>98</v>
      </c>
      <c r="BO27" s="4">
        <f t="shared" si="16"/>
        <v>3.9032258064516157</v>
      </c>
      <c r="BP27" s="4">
        <f t="shared" si="37"/>
        <v>0</v>
      </c>
      <c r="BQ27" s="2" t="b">
        <f>BP27&lt;=-$BN$128</f>
        <v>0</v>
      </c>
      <c r="BR27" s="1">
        <v>86</v>
      </c>
      <c r="BS27" s="4">
        <f t="shared" si="17"/>
        <v>1.2903225806451672</v>
      </c>
      <c r="BT27" s="4">
        <f t="shared" si="38"/>
        <v>0</v>
      </c>
      <c r="BU27" s="2" t="b">
        <f>BT27&lt;=-$BR$128</f>
        <v>0</v>
      </c>
      <c r="BV27" s="1">
        <v>89</v>
      </c>
      <c r="BW27" s="2">
        <f t="shared" si="18"/>
        <v>2.3870967741935516</v>
      </c>
      <c r="BX27" s="4">
        <f t="shared" si="39"/>
        <v>-4.0298546948659819</v>
      </c>
      <c r="BY27" s="2" t="b">
        <f>BX27&lt;=-$BV$128</f>
        <v>0</v>
      </c>
      <c r="BZ27" s="1">
        <v>91</v>
      </c>
      <c r="CA27" s="2">
        <f t="shared" si="19"/>
        <v>0.93548387096774377</v>
      </c>
      <c r="CB27" s="4">
        <f t="shared" si="40"/>
        <v>0</v>
      </c>
      <c r="CC27" s="2" t="b">
        <f t="shared" si="20"/>
        <v>0</v>
      </c>
    </row>
    <row r="28" spans="1:81" x14ac:dyDescent="0.2">
      <c r="A28" s="3">
        <v>45865</v>
      </c>
      <c r="B28" s="1">
        <v>82</v>
      </c>
      <c r="C28" s="2">
        <f t="shared" si="0"/>
        <v>-9.1935483870967687</v>
      </c>
      <c r="D28" s="4">
        <f t="shared" si="21"/>
        <v>-16.227897156237606</v>
      </c>
      <c r="E28" s="2" t="b">
        <f>D28&lt;=-$B$128</f>
        <v>0</v>
      </c>
      <c r="F28" s="1">
        <v>91</v>
      </c>
      <c r="G28" s="4">
        <f t="shared" si="1"/>
        <v>3.7419354838709609</v>
      </c>
      <c r="H28" s="4">
        <f t="shared" si="22"/>
        <v>0</v>
      </c>
      <c r="I28" s="2" t="b">
        <f>H28&lt;=-$F$128</f>
        <v>0</v>
      </c>
      <c r="J28" s="1">
        <v>80</v>
      </c>
      <c r="K28" s="4">
        <f t="shared" si="2"/>
        <v>-9.7096774193548328</v>
      </c>
      <c r="L28" s="4">
        <f t="shared" si="23"/>
        <v>-10.559674288057716</v>
      </c>
      <c r="M28" s="2" t="b">
        <f>L28&lt;=-$J$128</f>
        <v>0</v>
      </c>
      <c r="N28" s="1">
        <v>93</v>
      </c>
      <c r="O28" s="4">
        <f t="shared" si="3"/>
        <v>5.3548387096774235</v>
      </c>
      <c r="P28" s="4">
        <f t="shared" si="24"/>
        <v>0</v>
      </c>
      <c r="Q28" s="2" t="b">
        <f>P28&lt;=-$N$128</f>
        <v>0</v>
      </c>
      <c r="R28" s="1">
        <v>88</v>
      </c>
      <c r="S28" s="4">
        <f t="shared" si="4"/>
        <v>-3.7419354838709609</v>
      </c>
      <c r="T28" s="4">
        <f t="shared" si="25"/>
        <v>-30.941239146510696</v>
      </c>
      <c r="U28" s="2" t="b">
        <f>T28&lt;=-$R$128</f>
        <v>1</v>
      </c>
      <c r="V28" s="1">
        <v>90</v>
      </c>
      <c r="W28" s="4">
        <f t="shared" si="5"/>
        <v>3.2580645161290391</v>
      </c>
      <c r="X28" s="4">
        <f t="shared" si="26"/>
        <v>0</v>
      </c>
      <c r="Y28" s="2" t="b">
        <f>X28&lt;=-$V$128</f>
        <v>0</v>
      </c>
      <c r="Z28" s="1">
        <v>89</v>
      </c>
      <c r="AA28" s="4">
        <f t="shared" si="6"/>
        <v>-0.25806451612903913</v>
      </c>
      <c r="AB28" s="4">
        <f t="shared" si="27"/>
        <v>-3.5495180684009426</v>
      </c>
      <c r="AC28" s="2" t="b">
        <f>AB28&lt;=-$Z$128</f>
        <v>0</v>
      </c>
      <c r="AD28" s="1">
        <v>87</v>
      </c>
      <c r="AE28" s="4">
        <f t="shared" si="7"/>
        <v>1.4193548387096797</v>
      </c>
      <c r="AF28" s="4">
        <f t="shared" si="28"/>
        <v>0</v>
      </c>
      <c r="AG28" s="2" t="b">
        <f>AF28&lt;=-$AD$128</f>
        <v>0</v>
      </c>
      <c r="AH28" s="1">
        <v>84</v>
      </c>
      <c r="AI28" s="4">
        <f t="shared" si="8"/>
        <v>-3.8387096774193594</v>
      </c>
      <c r="AJ28" s="4">
        <f t="shared" si="29"/>
        <v>-2.2889958640893608</v>
      </c>
      <c r="AK28" s="2" t="b">
        <f>AJ28&lt;=-$AH$128</f>
        <v>0</v>
      </c>
      <c r="AL28" s="1">
        <v>92</v>
      </c>
      <c r="AM28" s="4">
        <f t="shared" si="9"/>
        <v>5.0645161290322562</v>
      </c>
      <c r="AN28" s="4">
        <f t="shared" si="30"/>
        <v>0</v>
      </c>
      <c r="AO28" s="2" t="b">
        <f>AN28&lt;=-$AL$128</f>
        <v>0</v>
      </c>
      <c r="AP28" s="1">
        <v>95</v>
      </c>
      <c r="AQ28" s="4">
        <f t="shared" si="10"/>
        <v>4.8064516129032313</v>
      </c>
      <c r="AR28" s="4">
        <f t="shared" si="31"/>
        <v>0</v>
      </c>
      <c r="AS28" s="2" t="b">
        <f>AR28&lt;=-$AP$128</f>
        <v>0</v>
      </c>
      <c r="AT28" s="1">
        <v>90</v>
      </c>
      <c r="AU28" s="4">
        <f t="shared" si="11"/>
        <v>3.5806451612903203</v>
      </c>
      <c r="AV28" s="4">
        <f t="shared" si="32"/>
        <v>0</v>
      </c>
      <c r="AW28" s="2" t="b">
        <f>AV28&lt;=-$AT$128</f>
        <v>0</v>
      </c>
      <c r="AX28" s="1">
        <v>90</v>
      </c>
      <c r="AY28" s="4">
        <f t="shared" si="12"/>
        <v>0.83870967741935942</v>
      </c>
      <c r="AZ28" s="4">
        <f t="shared" si="33"/>
        <v>0</v>
      </c>
      <c r="BA28" s="2" t="b">
        <f>AZ28&lt;=-$AX$128</f>
        <v>0</v>
      </c>
      <c r="BB28" s="1">
        <v>90</v>
      </c>
      <c r="BC28" s="4">
        <f t="shared" si="13"/>
        <v>3.3548387096774235</v>
      </c>
      <c r="BD28" s="4">
        <f t="shared" si="34"/>
        <v>0</v>
      </c>
      <c r="BE28" s="2" t="b">
        <f>BD28&lt;=-$BB$128</f>
        <v>0</v>
      </c>
      <c r="BF28" s="1">
        <v>93</v>
      </c>
      <c r="BG28" s="4">
        <f t="shared" si="14"/>
        <v>1.7419354838709609</v>
      </c>
      <c r="BH28" s="4">
        <f t="shared" si="35"/>
        <v>0</v>
      </c>
      <c r="BI28" s="2" t="b">
        <f>BH28&lt;=-$BF$128</f>
        <v>0</v>
      </c>
      <c r="BJ28" s="1">
        <v>94</v>
      </c>
      <c r="BK28" s="4">
        <f t="shared" si="15"/>
        <v>2.0645161290322562</v>
      </c>
      <c r="BL28" s="4">
        <f t="shared" si="36"/>
        <v>0</v>
      </c>
      <c r="BM28" s="2" t="b">
        <f>BL28&lt;=-$BJ$128</f>
        <v>0</v>
      </c>
      <c r="BN28" s="1">
        <v>97</v>
      </c>
      <c r="BO28" s="4">
        <f t="shared" si="16"/>
        <v>2.9032258064516157</v>
      </c>
      <c r="BP28" s="4">
        <f t="shared" si="37"/>
        <v>0</v>
      </c>
      <c r="BQ28" s="2" t="b">
        <f>BP28&lt;=-$BN$128</f>
        <v>0</v>
      </c>
      <c r="BR28" s="1">
        <v>82</v>
      </c>
      <c r="BS28" s="4">
        <f t="shared" si="17"/>
        <v>-2.7096774193548328</v>
      </c>
      <c r="BT28" s="4">
        <f t="shared" si="38"/>
        <v>-0.77235302564798336</v>
      </c>
      <c r="BU28" s="2" t="b">
        <f>BT28&lt;=-$BR$128</f>
        <v>0</v>
      </c>
      <c r="BV28" s="1">
        <v>92</v>
      </c>
      <c r="BW28" s="2">
        <f t="shared" si="18"/>
        <v>5.3870967741935516</v>
      </c>
      <c r="BX28" s="4">
        <f t="shared" si="39"/>
        <v>0</v>
      </c>
      <c r="BY28" s="2" t="b">
        <f>BX28&lt;=-$BV$128</f>
        <v>0</v>
      </c>
      <c r="BZ28" s="1">
        <v>92</v>
      </c>
      <c r="CA28" s="2">
        <f t="shared" si="19"/>
        <v>1.9354838709677438</v>
      </c>
      <c r="CB28" s="4">
        <f t="shared" si="40"/>
        <v>0</v>
      </c>
      <c r="CC28" s="2" t="b">
        <f t="shared" si="20"/>
        <v>0</v>
      </c>
    </row>
    <row r="29" spans="1:81" x14ac:dyDescent="0.2">
      <c r="A29" s="3">
        <v>45866</v>
      </c>
      <c r="B29" s="1">
        <v>79</v>
      </c>
      <c r="C29" s="2">
        <f t="shared" si="0"/>
        <v>-12.193548387096769</v>
      </c>
      <c r="D29" s="4">
        <f t="shared" si="21"/>
        <v>-25.970529541650141</v>
      </c>
      <c r="E29" s="8" t="b">
        <f>D29&lt;=-$B$128</f>
        <v>1</v>
      </c>
      <c r="F29" s="1">
        <v>91</v>
      </c>
      <c r="G29" s="4">
        <f t="shared" si="1"/>
        <v>3.7419354838709609</v>
      </c>
      <c r="H29" s="4">
        <f t="shared" si="22"/>
        <v>0</v>
      </c>
      <c r="I29" s="2" t="b">
        <f>H29&lt;=-$F$128</f>
        <v>0</v>
      </c>
      <c r="J29" s="1">
        <v>88</v>
      </c>
      <c r="K29" s="4">
        <f t="shared" si="2"/>
        <v>-1.7096774193548328</v>
      </c>
      <c r="L29" s="4">
        <f t="shared" si="23"/>
        <v>-10.746232384076954</v>
      </c>
      <c r="M29" s="9" t="b">
        <f>L29&lt;=-$J$128</f>
        <v>0</v>
      </c>
      <c r="N29" s="1">
        <v>93</v>
      </c>
      <c r="O29" s="4">
        <f t="shared" si="3"/>
        <v>5.3548387096774235</v>
      </c>
      <c r="P29" s="4">
        <f t="shared" si="24"/>
        <v>0</v>
      </c>
      <c r="Q29" s="2" t="b">
        <f>P29&lt;=-$N$128</f>
        <v>0</v>
      </c>
      <c r="R29" s="1">
        <v>91</v>
      </c>
      <c r="S29" s="4">
        <f t="shared" si="4"/>
        <v>-0.74193548387096087</v>
      </c>
      <c r="T29" s="4">
        <f t="shared" si="25"/>
        <v>-28.929486975812836</v>
      </c>
      <c r="U29" s="2" t="b">
        <f>T29&lt;=-$R$128</f>
        <v>1</v>
      </c>
      <c r="V29" s="1">
        <v>84</v>
      </c>
      <c r="W29" s="4">
        <f t="shared" si="5"/>
        <v>-2.7419354838709609</v>
      </c>
      <c r="X29" s="4">
        <f t="shared" si="26"/>
        <v>-1.4383011925179761</v>
      </c>
      <c r="Y29" s="2" t="b">
        <f>X29&lt;=-$V$128</f>
        <v>0</v>
      </c>
      <c r="Z29" s="1">
        <v>91</v>
      </c>
      <c r="AA29" s="4">
        <f t="shared" si="6"/>
        <v>1.7419354838709609</v>
      </c>
      <c r="AB29" s="4">
        <f t="shared" si="27"/>
        <v>0</v>
      </c>
      <c r="AC29" s="2" t="b">
        <f>AB29&lt;=-$Z$128</f>
        <v>0</v>
      </c>
      <c r="AD29" s="1">
        <v>89</v>
      </c>
      <c r="AE29" s="4">
        <f t="shared" si="7"/>
        <v>3.4193548387096797</v>
      </c>
      <c r="AF29" s="4">
        <f t="shared" si="28"/>
        <v>0</v>
      </c>
      <c r="AG29" s="2" t="b">
        <f>AF29&lt;=-$AD$128</f>
        <v>0</v>
      </c>
      <c r="AH29" s="1">
        <v>89</v>
      </c>
      <c r="AI29" s="4">
        <f t="shared" si="8"/>
        <v>1.1612903225806406</v>
      </c>
      <c r="AJ29" s="4">
        <f t="shared" si="29"/>
        <v>0</v>
      </c>
      <c r="AK29" s="2" t="b">
        <f>AJ29&lt;=-$AH$128</f>
        <v>0</v>
      </c>
      <c r="AL29" s="1">
        <v>90</v>
      </c>
      <c r="AM29" s="4">
        <f t="shared" si="9"/>
        <v>3.0645161290322562</v>
      </c>
      <c r="AN29" s="4">
        <f t="shared" si="30"/>
        <v>0</v>
      </c>
      <c r="AO29" s="2" t="b">
        <f>AN29&lt;=-$AL$128</f>
        <v>0</v>
      </c>
      <c r="AP29" s="1">
        <v>96</v>
      </c>
      <c r="AQ29" s="4">
        <f t="shared" si="10"/>
        <v>5.8064516129032313</v>
      </c>
      <c r="AR29" s="4">
        <f t="shared" si="31"/>
        <v>0</v>
      </c>
      <c r="AS29" s="2" t="b">
        <f>AR29&lt;=-$AP$128</f>
        <v>0</v>
      </c>
      <c r="AT29" s="1">
        <v>89</v>
      </c>
      <c r="AU29" s="4">
        <f t="shared" si="11"/>
        <v>2.5806451612903203</v>
      </c>
      <c r="AV29" s="4">
        <f t="shared" si="32"/>
        <v>0</v>
      </c>
      <c r="AW29" s="2" t="b">
        <f>AV29&lt;=-$AT$128</f>
        <v>0</v>
      </c>
      <c r="AX29" s="1">
        <v>93</v>
      </c>
      <c r="AY29" s="4">
        <f t="shared" si="12"/>
        <v>3.8387096774193594</v>
      </c>
      <c r="AZ29" s="4">
        <f t="shared" si="33"/>
        <v>0</v>
      </c>
      <c r="BA29" s="2" t="b">
        <f>AZ29&lt;=-$AX$128</f>
        <v>0</v>
      </c>
      <c r="BB29" s="1">
        <v>89</v>
      </c>
      <c r="BC29" s="4">
        <f t="shared" si="13"/>
        <v>2.3548387096774235</v>
      </c>
      <c r="BD29" s="4">
        <f t="shared" si="34"/>
        <v>0</v>
      </c>
      <c r="BE29" s="2" t="b">
        <f>BD29&lt;=-$BB$128</f>
        <v>0</v>
      </c>
      <c r="BF29" s="1">
        <v>90</v>
      </c>
      <c r="BG29" s="4">
        <f t="shared" si="14"/>
        <v>-1.2580645161290391</v>
      </c>
      <c r="BH29" s="4">
        <f t="shared" si="35"/>
        <v>0</v>
      </c>
      <c r="BI29" s="2" t="b">
        <f>BH29&lt;=-$BF$128</f>
        <v>0</v>
      </c>
      <c r="BJ29" s="1">
        <v>90</v>
      </c>
      <c r="BK29" s="4">
        <f t="shared" si="15"/>
        <v>-1.9354838709677438</v>
      </c>
      <c r="BL29" s="4">
        <f t="shared" si="36"/>
        <v>-0.19893804725635511</v>
      </c>
      <c r="BM29" s="2" t="b">
        <f>BL29&lt;=-$BJ$128</f>
        <v>0</v>
      </c>
      <c r="BN29" s="1">
        <v>97</v>
      </c>
      <c r="BO29" s="4">
        <f t="shared" si="16"/>
        <v>2.9032258064516157</v>
      </c>
      <c r="BP29" s="4">
        <f t="shared" si="37"/>
        <v>0</v>
      </c>
      <c r="BQ29" s="2" t="b">
        <f>BP29&lt;=-$BN$128</f>
        <v>0</v>
      </c>
      <c r="BR29" s="1">
        <v>86</v>
      </c>
      <c r="BS29" s="4">
        <f t="shared" si="17"/>
        <v>1.2903225806451672</v>
      </c>
      <c r="BT29" s="4">
        <f t="shared" si="38"/>
        <v>0</v>
      </c>
      <c r="BU29" s="2" t="b">
        <f>BT29&lt;=-$BR$128</f>
        <v>0</v>
      </c>
      <c r="BV29" s="1">
        <v>90</v>
      </c>
      <c r="BW29" s="2">
        <f t="shared" si="18"/>
        <v>3.3870967741935516</v>
      </c>
      <c r="BX29" s="4">
        <f t="shared" si="39"/>
        <v>0</v>
      </c>
      <c r="BY29" s="2" t="b">
        <f>BX29&lt;=-$BV$128</f>
        <v>0</v>
      </c>
      <c r="BZ29" s="1">
        <v>94</v>
      </c>
      <c r="CA29" s="2">
        <f t="shared" si="19"/>
        <v>3.9354838709677438</v>
      </c>
      <c r="CB29" s="4">
        <f t="shared" si="40"/>
        <v>0</v>
      </c>
      <c r="CC29" s="2" t="b">
        <f t="shared" si="20"/>
        <v>0</v>
      </c>
    </row>
    <row r="30" spans="1:81" x14ac:dyDescent="0.2">
      <c r="A30" s="3">
        <v>45867</v>
      </c>
      <c r="B30" s="1">
        <v>90</v>
      </c>
      <c r="C30" s="2">
        <f t="shared" si="0"/>
        <v>-1.1935483870967687</v>
      </c>
      <c r="D30" s="4">
        <f t="shared" si="21"/>
        <v>-24.713161927062675</v>
      </c>
      <c r="E30" s="2" t="b">
        <f>D30&lt;=-$B$128</f>
        <v>1</v>
      </c>
      <c r="F30" s="1">
        <v>89</v>
      </c>
      <c r="G30" s="4">
        <f t="shared" si="1"/>
        <v>1.7419354838709609</v>
      </c>
      <c r="H30" s="4">
        <f t="shared" si="22"/>
        <v>0</v>
      </c>
      <c r="I30" s="2" t="b">
        <f>H30&lt;=-$F$128</f>
        <v>0</v>
      </c>
      <c r="J30" s="1">
        <v>89</v>
      </c>
      <c r="K30" s="4">
        <f t="shared" si="2"/>
        <v>-0.70967741935483275</v>
      </c>
      <c r="L30" s="4">
        <f t="shared" si="23"/>
        <v>-9.9327904800961928</v>
      </c>
      <c r="M30" s="2" t="b">
        <f>L30&lt;=-$J$128</f>
        <v>0</v>
      </c>
      <c r="N30" s="1">
        <v>93</v>
      </c>
      <c r="O30" s="4">
        <f t="shared" si="3"/>
        <v>5.3548387096774235</v>
      </c>
      <c r="P30" s="4">
        <f t="shared" si="24"/>
        <v>0</v>
      </c>
      <c r="Q30" s="2" t="b">
        <f>P30&lt;=-$N$128</f>
        <v>0</v>
      </c>
      <c r="R30" s="1">
        <v>89</v>
      </c>
      <c r="S30" s="4">
        <f t="shared" si="4"/>
        <v>-2.7419354838709609</v>
      </c>
      <c r="T30" s="4">
        <f t="shared" si="25"/>
        <v>-28.917734805114975</v>
      </c>
      <c r="U30" s="2" t="b">
        <f>T30&lt;=-$R$128</f>
        <v>1</v>
      </c>
      <c r="V30" s="1">
        <v>89</v>
      </c>
      <c r="W30" s="4">
        <f t="shared" si="5"/>
        <v>2.2580645161290391</v>
      </c>
      <c r="X30" s="4">
        <f t="shared" si="26"/>
        <v>0</v>
      </c>
      <c r="Y30" s="2" t="b">
        <f>X30&lt;=-$V$128</f>
        <v>0</v>
      </c>
      <c r="Z30" s="1">
        <v>91</v>
      </c>
      <c r="AA30" s="4">
        <f t="shared" si="6"/>
        <v>1.7419354838709609</v>
      </c>
      <c r="AB30" s="4">
        <f t="shared" si="27"/>
        <v>0</v>
      </c>
      <c r="AC30" s="2" t="b">
        <f>AB30&lt;=-$Z$128</f>
        <v>0</v>
      </c>
      <c r="AD30" s="1">
        <v>88</v>
      </c>
      <c r="AE30" s="4">
        <f t="shared" si="7"/>
        <v>2.4193548387096797</v>
      </c>
      <c r="AF30" s="4">
        <f t="shared" si="28"/>
        <v>0</v>
      </c>
      <c r="AG30" s="2" t="b">
        <f>AF30&lt;=-$AD$128</f>
        <v>0</v>
      </c>
      <c r="AH30" s="1">
        <v>87</v>
      </c>
      <c r="AI30" s="4">
        <f t="shared" si="8"/>
        <v>-0.83870967741935942</v>
      </c>
      <c r="AJ30" s="4">
        <f t="shared" si="29"/>
        <v>0</v>
      </c>
      <c r="AK30" s="2" t="b">
        <f>AJ30&lt;=-$AH$128</f>
        <v>0</v>
      </c>
      <c r="AL30" s="1">
        <v>83</v>
      </c>
      <c r="AM30" s="4">
        <f t="shared" si="9"/>
        <v>-3.9354838709677438</v>
      </c>
      <c r="AN30" s="4">
        <f t="shared" si="30"/>
        <v>-1.7334564571550093</v>
      </c>
      <c r="AO30" s="2" t="b">
        <f>AN30&lt;=-$AL$128</f>
        <v>0</v>
      </c>
      <c r="AP30" s="1">
        <v>91</v>
      </c>
      <c r="AQ30" s="4">
        <f t="shared" si="10"/>
        <v>0.80645161290323131</v>
      </c>
      <c r="AR30" s="4">
        <f t="shared" si="31"/>
        <v>0</v>
      </c>
      <c r="AS30" s="2" t="b">
        <f>AR30&lt;=-$AP$128</f>
        <v>0</v>
      </c>
      <c r="AT30" s="1">
        <v>87</v>
      </c>
      <c r="AU30" s="4">
        <f t="shared" si="11"/>
        <v>0.58064516129032029</v>
      </c>
      <c r="AV30" s="4">
        <f t="shared" si="32"/>
        <v>0</v>
      </c>
      <c r="AW30" s="2" t="b">
        <f>AV30&lt;=-$AT$128</f>
        <v>0</v>
      </c>
      <c r="AX30" s="1">
        <v>92</v>
      </c>
      <c r="AY30" s="4">
        <f t="shared" si="12"/>
        <v>2.8387096774193594</v>
      </c>
      <c r="AZ30" s="4">
        <f t="shared" si="33"/>
        <v>0</v>
      </c>
      <c r="BA30" s="2" t="b">
        <f>AZ30&lt;=-$AX$128</f>
        <v>0</v>
      </c>
      <c r="BB30" s="1">
        <v>85</v>
      </c>
      <c r="BC30" s="4">
        <f t="shared" si="13"/>
        <v>-1.6451612903225765</v>
      </c>
      <c r="BD30" s="4">
        <f t="shared" si="34"/>
        <v>0</v>
      </c>
      <c r="BE30" s="2" t="b">
        <f>BD30&lt;=-$BB$128</f>
        <v>0</v>
      </c>
      <c r="BF30" s="1">
        <v>94</v>
      </c>
      <c r="BG30" s="4">
        <f t="shared" si="14"/>
        <v>2.7419354838709609</v>
      </c>
      <c r="BH30" s="4">
        <f t="shared" si="35"/>
        <v>0</v>
      </c>
      <c r="BI30" s="2" t="b">
        <f>BH30&lt;=-$BF$128</f>
        <v>0</v>
      </c>
      <c r="BJ30" s="1">
        <v>93</v>
      </c>
      <c r="BK30" s="4">
        <f t="shared" si="15"/>
        <v>1.0645161290322562</v>
      </c>
      <c r="BL30" s="4">
        <f t="shared" si="36"/>
        <v>0</v>
      </c>
      <c r="BM30" s="2" t="b">
        <f>BL30&lt;=-$BJ$128</f>
        <v>0</v>
      </c>
      <c r="BN30" s="1">
        <v>94</v>
      </c>
      <c r="BO30" s="4">
        <f t="shared" si="16"/>
        <v>-9.6774193548384346E-2</v>
      </c>
      <c r="BP30" s="4">
        <f t="shared" si="37"/>
        <v>0</v>
      </c>
      <c r="BQ30" s="2" t="b">
        <f>BP30&lt;=-$BN$128</f>
        <v>0</v>
      </c>
      <c r="BR30" s="1">
        <v>86</v>
      </c>
      <c r="BS30" s="4">
        <f t="shared" si="17"/>
        <v>1.2903225806451672</v>
      </c>
      <c r="BT30" s="4">
        <f t="shared" si="38"/>
        <v>0</v>
      </c>
      <c r="BU30" s="2" t="b">
        <f>BT30&lt;=-$BR$128</f>
        <v>0</v>
      </c>
      <c r="BV30" s="1">
        <v>82</v>
      </c>
      <c r="BW30" s="2">
        <f t="shared" si="18"/>
        <v>-4.6129032258064484</v>
      </c>
      <c r="BX30" s="4">
        <f t="shared" si="39"/>
        <v>-2.8208958813514524</v>
      </c>
      <c r="BY30" s="2" t="b">
        <f>BX30&lt;=-$BV$128</f>
        <v>0</v>
      </c>
      <c r="BZ30" s="1">
        <v>93</v>
      </c>
      <c r="CA30" s="2">
        <f t="shared" si="19"/>
        <v>2.9354838709677438</v>
      </c>
      <c r="CB30" s="4">
        <f t="shared" si="40"/>
        <v>0</v>
      </c>
      <c r="CC30" s="2" t="b">
        <f t="shared" si="20"/>
        <v>0</v>
      </c>
    </row>
    <row r="31" spans="1:81" x14ac:dyDescent="0.2">
      <c r="A31" s="3">
        <v>45868</v>
      </c>
      <c r="B31" s="1">
        <v>91</v>
      </c>
      <c r="C31" s="2">
        <f t="shared" si="0"/>
        <v>-0.19354838709676869</v>
      </c>
      <c r="D31" s="4">
        <f t="shared" si="21"/>
        <v>-22.455794312475209</v>
      </c>
      <c r="E31" s="2" t="b">
        <f>D31&lt;=-$B$128</f>
        <v>0</v>
      </c>
      <c r="F31" s="1">
        <v>88</v>
      </c>
      <c r="G31" s="4">
        <f t="shared" si="1"/>
        <v>0.74193548387096087</v>
      </c>
      <c r="H31" s="4">
        <f t="shared" si="22"/>
        <v>0</v>
      </c>
      <c r="I31" s="2" t="b">
        <f>H31&lt;=-$F$128</f>
        <v>0</v>
      </c>
      <c r="J31" s="1">
        <v>90</v>
      </c>
      <c r="K31" s="4">
        <f t="shared" si="2"/>
        <v>0.29032258064516725</v>
      </c>
      <c r="L31" s="4">
        <f t="shared" si="23"/>
        <v>-8.1193485761154314</v>
      </c>
      <c r="M31" s="2" t="b">
        <f>L31&lt;=-$J$128</f>
        <v>0</v>
      </c>
      <c r="N31" s="1">
        <v>97</v>
      </c>
      <c r="O31" s="4">
        <f t="shared" si="3"/>
        <v>9.3548387096774235</v>
      </c>
      <c r="P31" s="4">
        <f t="shared" si="24"/>
        <v>0</v>
      </c>
      <c r="Q31" s="2" t="b">
        <f>P31&lt;=-$N$128</f>
        <v>0</v>
      </c>
      <c r="R31" s="1">
        <v>87</v>
      </c>
      <c r="S31" s="4">
        <f t="shared" si="4"/>
        <v>-4.7419354838709609</v>
      </c>
      <c r="T31" s="4">
        <f t="shared" si="25"/>
        <v>-30.905982634417114</v>
      </c>
      <c r="U31" s="2" t="b">
        <f>T31&lt;=-$R$128</f>
        <v>1</v>
      </c>
      <c r="V31" s="1">
        <v>89</v>
      </c>
      <c r="W31" s="4">
        <f t="shared" si="5"/>
        <v>2.2580645161290391</v>
      </c>
      <c r="X31" s="4">
        <f t="shared" si="26"/>
        <v>0</v>
      </c>
      <c r="Y31" s="2" t="b">
        <f>X31&lt;=-$V$128</f>
        <v>0</v>
      </c>
      <c r="Z31" s="1">
        <v>88</v>
      </c>
      <c r="AA31" s="4">
        <f t="shared" si="6"/>
        <v>-1.2580645161290391</v>
      </c>
      <c r="AB31" s="4">
        <f t="shared" si="27"/>
        <v>0</v>
      </c>
      <c r="AC31" s="2" t="b">
        <f>AB31&lt;=-$Z$128</f>
        <v>0</v>
      </c>
      <c r="AD31" s="1">
        <v>84</v>
      </c>
      <c r="AE31" s="4">
        <f t="shared" si="7"/>
        <v>-1.5806451612903203</v>
      </c>
      <c r="AF31" s="4">
        <f t="shared" si="28"/>
        <v>0</v>
      </c>
      <c r="AG31" s="2" t="b">
        <f>AF31&lt;=-$AD$128</f>
        <v>0</v>
      </c>
      <c r="AH31" s="1">
        <v>89</v>
      </c>
      <c r="AI31" s="4">
        <f t="shared" si="8"/>
        <v>1.1612903225806406</v>
      </c>
      <c r="AJ31" s="4">
        <f t="shared" si="29"/>
        <v>0</v>
      </c>
      <c r="AK31" s="2" t="b">
        <f>AJ31&lt;=-$AH$128</f>
        <v>0</v>
      </c>
      <c r="AL31" s="1">
        <v>78</v>
      </c>
      <c r="AM31" s="4">
        <f t="shared" si="9"/>
        <v>-8.9354838709677438</v>
      </c>
      <c r="AN31" s="4">
        <f t="shared" si="30"/>
        <v>-8.4669129143100186</v>
      </c>
      <c r="AO31" s="2" t="b">
        <f>AN31&lt;=-$AL$128</f>
        <v>0</v>
      </c>
      <c r="AP31" s="1">
        <v>91</v>
      </c>
      <c r="AQ31" s="4">
        <f t="shared" si="10"/>
        <v>0.80645161290323131</v>
      </c>
      <c r="AR31" s="4">
        <f t="shared" si="31"/>
        <v>0</v>
      </c>
      <c r="AS31" s="2" t="b">
        <f>AR31&lt;=-$AP$128</f>
        <v>0</v>
      </c>
      <c r="AT31" s="1">
        <v>92</v>
      </c>
      <c r="AU31" s="4">
        <f t="shared" si="11"/>
        <v>5.5806451612903203</v>
      </c>
      <c r="AV31" s="4">
        <f t="shared" si="32"/>
        <v>0</v>
      </c>
      <c r="AW31" s="2" t="b">
        <f>AV31&lt;=-$AT$128</f>
        <v>0</v>
      </c>
      <c r="AX31" s="1">
        <v>90</v>
      </c>
      <c r="AY31" s="4">
        <f t="shared" si="12"/>
        <v>0.83870967741935942</v>
      </c>
      <c r="AZ31" s="4">
        <f t="shared" si="33"/>
        <v>0</v>
      </c>
      <c r="BA31" s="2" t="b">
        <f>AZ31&lt;=-$AX$128</f>
        <v>0</v>
      </c>
      <c r="BB31" s="1">
        <v>82</v>
      </c>
      <c r="BC31" s="4">
        <f t="shared" si="13"/>
        <v>-4.6451612903225765</v>
      </c>
      <c r="BD31" s="4">
        <f t="shared" si="34"/>
        <v>-2.7987756900358338</v>
      </c>
      <c r="BE31" s="2" t="b">
        <f>BD31&lt;=-$BB$128</f>
        <v>0</v>
      </c>
      <c r="BF31" s="1">
        <v>95</v>
      </c>
      <c r="BG31" s="4">
        <f t="shared" si="14"/>
        <v>3.7419354838709609</v>
      </c>
      <c r="BH31" s="4">
        <f t="shared" si="35"/>
        <v>0</v>
      </c>
      <c r="BI31" s="2" t="b">
        <f>BH31&lt;=-$BF$128</f>
        <v>0</v>
      </c>
      <c r="BJ31" s="1">
        <v>96</v>
      </c>
      <c r="BK31" s="4">
        <f t="shared" si="15"/>
        <v>4.0645161290322562</v>
      </c>
      <c r="BL31" s="4">
        <f t="shared" si="36"/>
        <v>0</v>
      </c>
      <c r="BM31" s="2" t="b">
        <f>BL31&lt;=-$BJ$128</f>
        <v>0</v>
      </c>
      <c r="BN31" s="1">
        <v>96</v>
      </c>
      <c r="BO31" s="4">
        <f t="shared" si="16"/>
        <v>1.9032258064516157</v>
      </c>
      <c r="BP31" s="4">
        <f t="shared" si="37"/>
        <v>0</v>
      </c>
      <c r="BQ31" s="2" t="b">
        <f>BP31&lt;=-$BN$128</f>
        <v>0</v>
      </c>
      <c r="BR31" s="1">
        <v>90</v>
      </c>
      <c r="BS31" s="4">
        <f t="shared" si="17"/>
        <v>5.2903225806451672</v>
      </c>
      <c r="BT31" s="4">
        <f t="shared" si="38"/>
        <v>0</v>
      </c>
      <c r="BU31" s="2" t="b">
        <f>BT31&lt;=-$BR$128</f>
        <v>0</v>
      </c>
      <c r="BV31" s="1">
        <v>84</v>
      </c>
      <c r="BW31" s="2">
        <f t="shared" si="18"/>
        <v>-2.6129032258064484</v>
      </c>
      <c r="BX31" s="4">
        <f t="shared" si="39"/>
        <v>-3.6417917627029048</v>
      </c>
      <c r="BY31" s="2" t="b">
        <f>BX31&lt;=-$BV$128</f>
        <v>0</v>
      </c>
      <c r="BZ31" s="1">
        <v>94</v>
      </c>
      <c r="CA31" s="2">
        <f t="shared" si="19"/>
        <v>3.9354838709677438</v>
      </c>
      <c r="CB31" s="4">
        <f t="shared" si="40"/>
        <v>0</v>
      </c>
      <c r="CC31" s="2" t="b">
        <f t="shared" si="20"/>
        <v>0</v>
      </c>
    </row>
    <row r="32" spans="1:81" x14ac:dyDescent="0.2">
      <c r="A32" s="3">
        <v>45869</v>
      </c>
      <c r="B32" s="1">
        <v>87</v>
      </c>
      <c r="C32" s="2">
        <f t="shared" si="0"/>
        <v>-4.1935483870967687</v>
      </c>
      <c r="D32" s="4">
        <f t="shared" si="21"/>
        <v>-24.198426697887744</v>
      </c>
      <c r="E32" s="2" t="b">
        <f>D32&lt;=-$B$128</f>
        <v>0</v>
      </c>
      <c r="F32" s="1">
        <v>72</v>
      </c>
      <c r="G32" s="4">
        <f t="shared" si="1"/>
        <v>-15.258064516129039</v>
      </c>
      <c r="H32" s="4">
        <f t="shared" si="22"/>
        <v>-13.044591596576737</v>
      </c>
      <c r="I32" s="9" t="b">
        <f>H32&lt;=-$F$128</f>
        <v>0</v>
      </c>
      <c r="J32" s="1">
        <v>86</v>
      </c>
      <c r="K32" s="4">
        <f t="shared" si="2"/>
        <v>-3.7096774193548328</v>
      </c>
      <c r="L32" s="4">
        <f t="shared" si="23"/>
        <v>-10.30590667213467</v>
      </c>
      <c r="M32" s="2" t="b">
        <f>L32&lt;=-$J$128</f>
        <v>0</v>
      </c>
      <c r="N32" s="1">
        <v>99</v>
      </c>
      <c r="O32" s="4">
        <f t="shared" si="3"/>
        <v>11.354838709677423</v>
      </c>
      <c r="P32" s="4">
        <f t="shared" si="24"/>
        <v>0</v>
      </c>
      <c r="Q32" s="2" t="b">
        <f>P32&lt;=-$N$128</f>
        <v>0</v>
      </c>
      <c r="R32" s="1">
        <v>86</v>
      </c>
      <c r="S32" s="4">
        <f t="shared" si="4"/>
        <v>-5.7419354838709609</v>
      </c>
      <c r="T32" s="4">
        <f t="shared" si="25"/>
        <v>-33.894230463719254</v>
      </c>
      <c r="U32" s="2" t="b">
        <f>T32&lt;=-$R$128</f>
        <v>1</v>
      </c>
      <c r="V32" s="1">
        <v>87</v>
      </c>
      <c r="W32" s="4">
        <f t="shared" si="5"/>
        <v>0.25806451612903913</v>
      </c>
      <c r="X32" s="4">
        <f t="shared" si="26"/>
        <v>0</v>
      </c>
      <c r="Y32" s="2" t="b">
        <f>X32&lt;=-$V$128</f>
        <v>0</v>
      </c>
      <c r="Z32" s="1">
        <v>90</v>
      </c>
      <c r="AA32" s="4">
        <f t="shared" si="6"/>
        <v>0.74193548387096087</v>
      </c>
      <c r="AB32" s="4">
        <f t="shared" si="27"/>
        <v>0</v>
      </c>
      <c r="AC32" s="2" t="b">
        <f>AB32&lt;=-$Z$128</f>
        <v>0</v>
      </c>
      <c r="AD32" s="1">
        <v>88</v>
      </c>
      <c r="AE32" s="4">
        <f t="shared" si="7"/>
        <v>2.4193548387096797</v>
      </c>
      <c r="AF32" s="4">
        <f t="shared" si="28"/>
        <v>0</v>
      </c>
      <c r="AG32" s="2" t="b">
        <f>AF32&lt;=-$AD$128</f>
        <v>0</v>
      </c>
      <c r="AH32" s="1">
        <v>90</v>
      </c>
      <c r="AI32" s="4">
        <f t="shared" si="8"/>
        <v>2.1612903225806406</v>
      </c>
      <c r="AJ32" s="4">
        <f t="shared" si="29"/>
        <v>0</v>
      </c>
      <c r="AK32" s="2" t="b">
        <f>AJ32&lt;=-$AH$128</f>
        <v>0</v>
      </c>
      <c r="AL32" s="1">
        <v>84</v>
      </c>
      <c r="AM32" s="4">
        <f t="shared" si="9"/>
        <v>-2.9354838709677438</v>
      </c>
      <c r="AN32" s="4">
        <f t="shared" si="30"/>
        <v>-9.2003693714650279</v>
      </c>
      <c r="AO32" s="2" t="b">
        <f>AN32&lt;=-$AL$128</f>
        <v>0</v>
      </c>
      <c r="AP32" s="1">
        <v>94</v>
      </c>
      <c r="AQ32" s="4">
        <f t="shared" si="10"/>
        <v>3.8064516129032313</v>
      </c>
      <c r="AR32" s="4">
        <f t="shared" si="31"/>
        <v>0</v>
      </c>
      <c r="AS32" s="2" t="b">
        <f>AR32&lt;=-$AP$128</f>
        <v>0</v>
      </c>
      <c r="AT32" s="1">
        <v>90</v>
      </c>
      <c r="AU32" s="4">
        <f t="shared" si="11"/>
        <v>3.5806451612903203</v>
      </c>
      <c r="AV32" s="4">
        <f t="shared" si="32"/>
        <v>0</v>
      </c>
      <c r="AW32" s="2" t="b">
        <f>AV32&lt;=-$AT$128</f>
        <v>0</v>
      </c>
      <c r="AX32" s="1">
        <v>88</v>
      </c>
      <c r="AY32" s="4">
        <f t="shared" si="12"/>
        <v>-1.1612903225806406</v>
      </c>
      <c r="AZ32" s="4">
        <f t="shared" si="33"/>
        <v>0</v>
      </c>
      <c r="BA32" s="2" t="b">
        <f>AZ32&lt;=-$AX$128</f>
        <v>0</v>
      </c>
      <c r="BB32" s="1">
        <v>85</v>
      </c>
      <c r="BC32" s="4">
        <f t="shared" si="13"/>
        <v>-1.6451612903225765</v>
      </c>
      <c r="BD32" s="4">
        <f t="shared" si="34"/>
        <v>-2.5975513800716676</v>
      </c>
      <c r="BE32" s="2" t="b">
        <f>BD32&lt;=-$BB$128</f>
        <v>0</v>
      </c>
      <c r="BF32" s="1">
        <v>95</v>
      </c>
      <c r="BG32" s="4">
        <f t="shared" si="14"/>
        <v>3.7419354838709609</v>
      </c>
      <c r="BH32" s="4">
        <f t="shared" si="35"/>
        <v>0</v>
      </c>
      <c r="BI32" s="2" t="b">
        <f>BH32&lt;=-$BF$128</f>
        <v>0</v>
      </c>
      <c r="BJ32" s="1">
        <v>96</v>
      </c>
      <c r="BK32" s="4">
        <f t="shared" si="15"/>
        <v>4.0645161290322562</v>
      </c>
      <c r="BL32" s="4">
        <f t="shared" si="36"/>
        <v>0</v>
      </c>
      <c r="BM32" s="2" t="b">
        <f>BL32&lt;=-$BJ$128</f>
        <v>0</v>
      </c>
      <c r="BN32" s="1">
        <v>88</v>
      </c>
      <c r="BO32" s="4">
        <f t="shared" si="16"/>
        <v>-6.0967741935483843</v>
      </c>
      <c r="BP32" s="4">
        <f t="shared" si="37"/>
        <v>-3.8041961733940814</v>
      </c>
      <c r="BQ32" s="2" t="b">
        <f>BP32&lt;=-$BN$128</f>
        <v>0</v>
      </c>
      <c r="BR32" s="1">
        <v>80</v>
      </c>
      <c r="BS32" s="4">
        <f t="shared" si="17"/>
        <v>-4.7096774193548328</v>
      </c>
      <c r="BT32" s="4">
        <f t="shared" si="38"/>
        <v>-2.7723530256479831</v>
      </c>
      <c r="BU32" s="2" t="b">
        <f>BT32&lt;=-$BR$128</f>
        <v>0</v>
      </c>
      <c r="BV32" s="1">
        <v>85</v>
      </c>
      <c r="BW32" s="2">
        <f t="shared" si="18"/>
        <v>-1.6129032258064484</v>
      </c>
      <c r="BX32" s="4">
        <f t="shared" si="39"/>
        <v>-3.4626876440543572</v>
      </c>
      <c r="BY32" s="2" t="b">
        <f>BX32&lt;=-$BV$128</f>
        <v>0</v>
      </c>
      <c r="BZ32" s="1">
        <v>93</v>
      </c>
      <c r="CA32" s="2">
        <f t="shared" si="19"/>
        <v>2.9354838709677438</v>
      </c>
      <c r="CB32" s="4">
        <f t="shared" si="40"/>
        <v>0</v>
      </c>
      <c r="CC32" s="2" t="b">
        <f t="shared" si="20"/>
        <v>0</v>
      </c>
    </row>
    <row r="33" spans="1:81" x14ac:dyDescent="0.2">
      <c r="A33" s="3">
        <v>45870</v>
      </c>
      <c r="B33" s="1">
        <v>86</v>
      </c>
      <c r="C33" s="2">
        <f t="shared" si="0"/>
        <v>-5.1935483870967687</v>
      </c>
      <c r="D33" s="4">
        <f t="shared" si="21"/>
        <v>-26.941059083300278</v>
      </c>
      <c r="E33" s="2" t="b">
        <f>D33&lt;=-$B$128</f>
        <v>1</v>
      </c>
      <c r="F33" s="1">
        <v>80</v>
      </c>
      <c r="G33" s="4">
        <f t="shared" si="1"/>
        <v>-7.2580645161290391</v>
      </c>
      <c r="H33" s="4">
        <f t="shared" si="22"/>
        <v>-18.089183193153474</v>
      </c>
      <c r="I33" s="9" t="b">
        <f>H33&lt;=-$F$128</f>
        <v>0</v>
      </c>
      <c r="J33" s="1">
        <v>86</v>
      </c>
      <c r="K33" s="4">
        <f t="shared" si="2"/>
        <v>-3.7096774193548328</v>
      </c>
      <c r="L33" s="4">
        <f t="shared" si="23"/>
        <v>-12.492464768153908</v>
      </c>
      <c r="M33" s="2" t="b">
        <f>L33&lt;=-$J$128</f>
        <v>0</v>
      </c>
      <c r="N33" s="1">
        <v>96</v>
      </c>
      <c r="O33" s="4">
        <f t="shared" si="3"/>
        <v>8.3548387096774235</v>
      </c>
      <c r="P33" s="4">
        <f t="shared" si="24"/>
        <v>0</v>
      </c>
      <c r="Q33" s="2" t="b">
        <f>P33&lt;=-$N$128</f>
        <v>0</v>
      </c>
      <c r="R33" s="1">
        <v>86</v>
      </c>
      <c r="S33" s="4">
        <f t="shared" si="4"/>
        <v>-5.7419354838709609</v>
      </c>
      <c r="T33" s="4">
        <f t="shared" si="25"/>
        <v>-36.882478293021393</v>
      </c>
      <c r="U33" s="2" t="b">
        <f>T33&lt;=-$R$128</f>
        <v>1</v>
      </c>
      <c r="V33" s="1">
        <v>84</v>
      </c>
      <c r="W33" s="4">
        <f t="shared" si="5"/>
        <v>-2.7419354838709609</v>
      </c>
      <c r="X33" s="4">
        <f t="shared" si="26"/>
        <v>-1.4383011925179761</v>
      </c>
      <c r="Y33" s="2" t="b">
        <f>X33&lt;=-$V$128</f>
        <v>0</v>
      </c>
      <c r="Z33" s="1">
        <v>93</v>
      </c>
      <c r="AA33" s="4">
        <f t="shared" si="6"/>
        <v>3.7419354838709609</v>
      </c>
      <c r="AB33" s="4">
        <f t="shared" si="27"/>
        <v>0</v>
      </c>
      <c r="AC33" s="2" t="b">
        <f>AB33&lt;=-$Z$128</f>
        <v>0</v>
      </c>
      <c r="AD33" s="1">
        <v>84</v>
      </c>
      <c r="AE33" s="4">
        <f t="shared" si="7"/>
        <v>-1.5806451612903203</v>
      </c>
      <c r="AF33" s="4">
        <f t="shared" si="28"/>
        <v>0</v>
      </c>
      <c r="AG33" s="2" t="b">
        <f>AF33&lt;=-$AD$128</f>
        <v>0</v>
      </c>
      <c r="AH33" s="1">
        <v>91</v>
      </c>
      <c r="AI33" s="4">
        <f t="shared" si="8"/>
        <v>3.1612903225806406</v>
      </c>
      <c r="AJ33" s="4">
        <f t="shared" si="29"/>
        <v>0</v>
      </c>
      <c r="AK33" s="2" t="b">
        <f>AJ33&lt;=-$AH$128</f>
        <v>0</v>
      </c>
      <c r="AL33" s="1">
        <v>82</v>
      </c>
      <c r="AM33" s="4">
        <f t="shared" si="9"/>
        <v>-4.9354838709677438</v>
      </c>
      <c r="AN33" s="4">
        <f t="shared" si="30"/>
        <v>-11.933825828620037</v>
      </c>
      <c r="AO33" s="2" t="b">
        <f>AN33&lt;=-$AL$128</f>
        <v>0</v>
      </c>
      <c r="AP33" s="1">
        <v>95</v>
      </c>
      <c r="AQ33" s="4">
        <f t="shared" si="10"/>
        <v>4.8064516129032313</v>
      </c>
      <c r="AR33" s="4">
        <f t="shared" si="31"/>
        <v>0</v>
      </c>
      <c r="AS33" s="2" t="b">
        <f>AR33&lt;=-$AP$128</f>
        <v>0</v>
      </c>
      <c r="AT33" s="1">
        <v>92</v>
      </c>
      <c r="AU33" s="4">
        <f t="shared" si="11"/>
        <v>5.5806451612903203</v>
      </c>
      <c r="AV33" s="4">
        <f t="shared" si="32"/>
        <v>0</v>
      </c>
      <c r="AW33" s="2" t="b">
        <f>AV33&lt;=-$AT$128</f>
        <v>0</v>
      </c>
      <c r="AX33" s="1">
        <v>89</v>
      </c>
      <c r="AY33" s="4">
        <f t="shared" si="12"/>
        <v>-0.16129032258064058</v>
      </c>
      <c r="AZ33" s="4">
        <f t="shared" si="33"/>
        <v>0</v>
      </c>
      <c r="BA33" s="2" t="b">
        <f>AZ33&lt;=-$AX$128</f>
        <v>0</v>
      </c>
      <c r="BB33" s="1">
        <v>89</v>
      </c>
      <c r="BC33" s="4">
        <f t="shared" si="13"/>
        <v>2.3548387096774235</v>
      </c>
      <c r="BD33" s="4">
        <f t="shared" si="34"/>
        <v>0</v>
      </c>
      <c r="BE33" s="2" t="b">
        <f>BD33&lt;=-$BB$128</f>
        <v>0</v>
      </c>
      <c r="BF33" s="1">
        <v>96</v>
      </c>
      <c r="BG33" s="4">
        <f t="shared" si="14"/>
        <v>4.7419354838709609</v>
      </c>
      <c r="BH33" s="4">
        <f t="shared" si="35"/>
        <v>0</v>
      </c>
      <c r="BI33" s="2" t="b">
        <f>BH33&lt;=-$BF$128</f>
        <v>0</v>
      </c>
      <c r="BJ33" s="1">
        <v>91</v>
      </c>
      <c r="BK33" s="4">
        <f t="shared" si="15"/>
        <v>-0.93548387096774377</v>
      </c>
      <c r="BL33" s="4">
        <f t="shared" si="36"/>
        <v>0</v>
      </c>
      <c r="BM33" s="2" t="b">
        <f>BL33&lt;=-$BJ$128</f>
        <v>0</v>
      </c>
      <c r="BN33" s="1">
        <v>94</v>
      </c>
      <c r="BO33" s="4">
        <f t="shared" si="16"/>
        <v>-9.6774193548384346E-2</v>
      </c>
      <c r="BP33" s="4">
        <f t="shared" si="37"/>
        <v>-1.6083923467881629</v>
      </c>
      <c r="BQ33" s="2" t="b">
        <f>BP33&lt;=-$BN$128</f>
        <v>0</v>
      </c>
      <c r="BR33" s="1">
        <v>87</v>
      </c>
      <c r="BS33" s="4">
        <f t="shared" si="17"/>
        <v>2.2903225806451672</v>
      </c>
      <c r="BT33" s="4">
        <f t="shared" si="38"/>
        <v>0</v>
      </c>
      <c r="BU33" s="2" t="b">
        <f>BT33&lt;=-$BR$128</f>
        <v>0</v>
      </c>
      <c r="BV33" s="1">
        <v>81</v>
      </c>
      <c r="BW33" s="2">
        <f t="shared" si="18"/>
        <v>-5.6129032258064484</v>
      </c>
      <c r="BX33" s="4">
        <f t="shared" si="39"/>
        <v>-7.2835835254058097</v>
      </c>
      <c r="BY33" s="2" t="b">
        <f>BX33&lt;=-$BV$128</f>
        <v>0</v>
      </c>
      <c r="BZ33" s="1">
        <v>89</v>
      </c>
      <c r="CA33" s="2">
        <f t="shared" si="19"/>
        <v>-1.0645161290322562</v>
      </c>
      <c r="CB33" s="4">
        <f t="shared" si="40"/>
        <v>0</v>
      </c>
      <c r="CC33" s="2" t="b">
        <f t="shared" si="20"/>
        <v>0</v>
      </c>
    </row>
    <row r="34" spans="1:81" x14ac:dyDescent="0.2">
      <c r="A34" s="3">
        <v>45871</v>
      </c>
      <c r="B34" s="1">
        <v>90</v>
      </c>
      <c r="C34" s="2">
        <f t="shared" ref="C34:C65" si="41">B34-$B$125</f>
        <v>-1.1935483870967687</v>
      </c>
      <c r="D34" s="4">
        <f t="shared" si="21"/>
        <v>-25.683691468712812</v>
      </c>
      <c r="E34" s="2" t="b">
        <f>D34&lt;=-$B$128</f>
        <v>1</v>
      </c>
      <c r="F34" s="1">
        <v>84</v>
      </c>
      <c r="G34" s="4">
        <f t="shared" ref="G34:G65" si="42">F34-$F$125</f>
        <v>-3.2580645161290391</v>
      </c>
      <c r="H34" s="4">
        <f t="shared" si="22"/>
        <v>-19.133774789730211</v>
      </c>
      <c r="I34" s="2" t="b">
        <f>H34&lt;=-$F$128</f>
        <v>0</v>
      </c>
      <c r="J34" s="1">
        <v>82</v>
      </c>
      <c r="K34" s="4">
        <f t="shared" ref="K34:K65" si="43">J34-$J$125</f>
        <v>-7.7096774193548328</v>
      </c>
      <c r="L34" s="4">
        <f t="shared" si="23"/>
        <v>-18.679022864173145</v>
      </c>
      <c r="M34" s="8" t="b">
        <f>L34&lt;=-$J$128</f>
        <v>1</v>
      </c>
      <c r="N34" s="1">
        <v>93</v>
      </c>
      <c r="O34" s="4">
        <f t="shared" ref="O34:O65" si="44">N34-$N$125</f>
        <v>5.3548387096774235</v>
      </c>
      <c r="P34" s="4">
        <f t="shared" si="24"/>
        <v>0</v>
      </c>
      <c r="Q34" s="2" t="b">
        <f>P34&lt;=-$N$128</f>
        <v>0</v>
      </c>
      <c r="R34" s="1">
        <v>81</v>
      </c>
      <c r="S34" s="4">
        <f t="shared" ref="S34:S65" si="45">R34-$R$125</f>
        <v>-10.741935483870961</v>
      </c>
      <c r="T34" s="4">
        <f t="shared" si="25"/>
        <v>-44.870726122323532</v>
      </c>
      <c r="U34" s="2" t="b">
        <f>T34&lt;=-$R$128</f>
        <v>1</v>
      </c>
      <c r="V34" s="1">
        <v>84</v>
      </c>
      <c r="W34" s="4">
        <f t="shared" ref="W34:W65" si="46">V34-$V$125</f>
        <v>-2.7419354838709609</v>
      </c>
      <c r="X34" s="4">
        <f t="shared" si="26"/>
        <v>-2.8766023850359517</v>
      </c>
      <c r="Y34" s="9" t="b">
        <f>X34&lt;=-$V$128</f>
        <v>0</v>
      </c>
      <c r="Z34" s="1">
        <v>91</v>
      </c>
      <c r="AA34" s="4">
        <f t="shared" ref="AA34:AA65" si="47">Z34-$Z$125</f>
        <v>1.7419354838709609</v>
      </c>
      <c r="AB34" s="4">
        <f t="shared" si="27"/>
        <v>0</v>
      </c>
      <c r="AC34" s="2" t="b">
        <f>AB34&lt;=-$Z$128</f>
        <v>0</v>
      </c>
      <c r="AD34" s="1">
        <v>84</v>
      </c>
      <c r="AE34" s="4">
        <f t="shared" ref="AE34:AE65" si="48">AD34-$AD$125</f>
        <v>-1.5806451612903203</v>
      </c>
      <c r="AF34" s="4">
        <f t="shared" si="28"/>
        <v>0</v>
      </c>
      <c r="AG34" s="2" t="b">
        <f>AF34&lt;=-$AD$128</f>
        <v>0</v>
      </c>
      <c r="AH34" s="1">
        <v>90</v>
      </c>
      <c r="AI34" s="4">
        <f t="shared" ref="AI34:AI65" si="49">AH34-$AH$125</f>
        <v>2.1612903225806406</v>
      </c>
      <c r="AJ34" s="4">
        <f t="shared" si="29"/>
        <v>0</v>
      </c>
      <c r="AK34" s="2" t="b">
        <f>AJ34&lt;=-$AH$128</f>
        <v>0</v>
      </c>
      <c r="AL34" s="1">
        <v>86</v>
      </c>
      <c r="AM34" s="4">
        <f t="shared" ref="AM34:AM65" si="50">AL34-$AL$125</f>
        <v>-0.93548387096774377</v>
      </c>
      <c r="AN34" s="4">
        <f t="shared" si="30"/>
        <v>-10.667282285775046</v>
      </c>
      <c r="AO34" s="2" t="b">
        <f>AN34&lt;=-$AL$128</f>
        <v>0</v>
      </c>
      <c r="AP34" s="1">
        <v>95</v>
      </c>
      <c r="AQ34" s="4">
        <f t="shared" ref="AQ34:AQ65" si="51">AP34-$AP$125</f>
        <v>4.8064516129032313</v>
      </c>
      <c r="AR34" s="4">
        <f t="shared" si="31"/>
        <v>0</v>
      </c>
      <c r="AS34" s="2" t="b">
        <f>AR34&lt;=-$AP$128</f>
        <v>0</v>
      </c>
      <c r="AT34" s="1">
        <v>92</v>
      </c>
      <c r="AU34" s="4">
        <f t="shared" ref="AU34:AU65" si="52">AT34-$AT$125</f>
        <v>5.5806451612903203</v>
      </c>
      <c r="AV34" s="4">
        <f t="shared" si="32"/>
        <v>0</v>
      </c>
      <c r="AW34" s="2" t="b">
        <f>AV34&lt;=-$AT$128</f>
        <v>0</v>
      </c>
      <c r="AX34" s="1">
        <v>92</v>
      </c>
      <c r="AY34" s="4">
        <f t="shared" ref="AY34:AY65" si="53">AX34-$AX$125</f>
        <v>2.8387096774193594</v>
      </c>
      <c r="AZ34" s="4">
        <f t="shared" si="33"/>
        <v>0</v>
      </c>
      <c r="BA34" s="2" t="b">
        <f>AZ34&lt;=-$AX$128</f>
        <v>0</v>
      </c>
      <c r="BB34" s="1">
        <v>83</v>
      </c>
      <c r="BC34" s="4">
        <f t="shared" ref="BC34:BC65" si="54">BB34-$BB$125</f>
        <v>-3.6451612903225765</v>
      </c>
      <c r="BD34" s="4">
        <f t="shared" si="34"/>
        <v>-1.7987756900358338</v>
      </c>
      <c r="BE34" s="2" t="b">
        <f>BD34&lt;=-$BB$128</f>
        <v>0</v>
      </c>
      <c r="BF34" s="1">
        <v>84</v>
      </c>
      <c r="BG34" s="4">
        <f t="shared" ref="BG34:BG65" si="55">BF34-$BF$125</f>
        <v>-7.2580645161290391</v>
      </c>
      <c r="BH34" s="4">
        <f t="shared" si="35"/>
        <v>-5.2292399716555495</v>
      </c>
      <c r="BI34" s="2" t="b">
        <f>BH34&lt;=-$BF$128</f>
        <v>0</v>
      </c>
      <c r="BJ34" s="1">
        <v>96</v>
      </c>
      <c r="BK34" s="4">
        <f t="shared" ref="BK34:BK65" si="56">BJ34-$BJ$125</f>
        <v>4.0645161290322562</v>
      </c>
      <c r="BL34" s="4">
        <f t="shared" si="36"/>
        <v>0</v>
      </c>
      <c r="BM34" s="2" t="b">
        <f>BL34&lt;=-$BJ$128</f>
        <v>0</v>
      </c>
      <c r="BN34" s="1">
        <v>99</v>
      </c>
      <c r="BO34" s="4">
        <f t="shared" ref="BO34:BO65" si="57">BN34-$BN$125</f>
        <v>4.9032258064516157</v>
      </c>
      <c r="BP34" s="4">
        <f t="shared" si="37"/>
        <v>0</v>
      </c>
      <c r="BQ34" s="2" t="b">
        <f>BP34&lt;=-$BN$128</f>
        <v>0</v>
      </c>
      <c r="BR34" s="1">
        <v>89</v>
      </c>
      <c r="BS34" s="4">
        <f t="shared" ref="BS34:BS65" si="58">BR34-$BR$125</f>
        <v>4.2903225806451672</v>
      </c>
      <c r="BT34" s="4">
        <f t="shared" si="38"/>
        <v>0</v>
      </c>
      <c r="BU34" s="2" t="b">
        <f>BT34&lt;=-$BR$128</f>
        <v>0</v>
      </c>
      <c r="BV34" s="1">
        <v>84</v>
      </c>
      <c r="BW34" s="2">
        <f t="shared" ref="BW34:BW65" si="59">BV34-$BV$125</f>
        <v>-2.6129032258064484</v>
      </c>
      <c r="BX34" s="4">
        <f t="shared" si="39"/>
        <v>-8.1044794067572621</v>
      </c>
      <c r="BY34" s="2" t="b">
        <f>BX34&lt;=-$BV$128</f>
        <v>0</v>
      </c>
      <c r="BZ34" s="1">
        <v>94</v>
      </c>
      <c r="CA34" s="2">
        <f t="shared" ref="CA34:CA65" si="60">BZ34-$BZ$125</f>
        <v>3.9354838709677438</v>
      </c>
      <c r="CB34" s="4">
        <f t="shared" si="40"/>
        <v>0</v>
      </c>
      <c r="CC34" s="2" t="b">
        <f t="shared" ref="CC34:CC65" si="61">CB34&lt;=-$BZ$128</f>
        <v>0</v>
      </c>
    </row>
    <row r="35" spans="1:81" x14ac:dyDescent="0.2">
      <c r="A35" s="3">
        <v>45872</v>
      </c>
      <c r="B35" s="1">
        <v>84</v>
      </c>
      <c r="C35" s="2">
        <f t="shared" si="41"/>
        <v>-7.1935483870967687</v>
      </c>
      <c r="D35" s="4">
        <f t="shared" si="21"/>
        <v>-30.426323854125343</v>
      </c>
      <c r="E35" s="2" t="b">
        <f>D35&lt;=-$B$128</f>
        <v>1</v>
      </c>
      <c r="F35" s="1">
        <v>88</v>
      </c>
      <c r="G35" s="4">
        <f t="shared" si="42"/>
        <v>0.74193548387096087</v>
      </c>
      <c r="H35" s="4">
        <f t="shared" si="22"/>
        <v>-16.178366386306948</v>
      </c>
      <c r="I35" s="2" t="b">
        <f>H35&lt;=-$F$128</f>
        <v>0</v>
      </c>
      <c r="J35" s="1">
        <v>84</v>
      </c>
      <c r="K35" s="4">
        <f t="shared" si="43"/>
        <v>-5.7096774193548328</v>
      </c>
      <c r="L35" s="4">
        <f t="shared" si="23"/>
        <v>-22.865580960192382</v>
      </c>
      <c r="M35" s="2" t="b">
        <f>L35&lt;=-$J$128</f>
        <v>1</v>
      </c>
      <c r="N35" s="1">
        <v>88</v>
      </c>
      <c r="O35" s="4">
        <f t="shared" si="44"/>
        <v>0.35483870967742348</v>
      </c>
      <c r="P35" s="4">
        <f t="shared" si="24"/>
        <v>0</v>
      </c>
      <c r="Q35" s="2" t="b">
        <f>P35&lt;=-$N$128</f>
        <v>0</v>
      </c>
      <c r="R35" s="1">
        <v>84</v>
      </c>
      <c r="S35" s="4">
        <f t="shared" si="45"/>
        <v>-7.7419354838709609</v>
      </c>
      <c r="T35" s="4">
        <f t="shared" si="25"/>
        <v>-49.858973951625671</v>
      </c>
      <c r="U35" s="2" t="b">
        <f>T35&lt;=-$R$128</f>
        <v>1</v>
      </c>
      <c r="V35" s="1">
        <v>84</v>
      </c>
      <c r="W35" s="4">
        <f t="shared" si="46"/>
        <v>-2.7419354838709609</v>
      </c>
      <c r="X35" s="4">
        <f t="shared" si="26"/>
        <v>-4.3149035775539275</v>
      </c>
      <c r="Y35" s="2" t="b">
        <f>X35&lt;=-$V$128</f>
        <v>0</v>
      </c>
      <c r="Z35" s="1">
        <v>91</v>
      </c>
      <c r="AA35" s="4">
        <f t="shared" si="47"/>
        <v>1.7419354838709609</v>
      </c>
      <c r="AB35" s="4">
        <f t="shared" si="27"/>
        <v>0</v>
      </c>
      <c r="AC35" s="2" t="b">
        <f>AB35&lt;=-$Z$128</f>
        <v>0</v>
      </c>
      <c r="AD35" s="1">
        <v>84</v>
      </c>
      <c r="AE35" s="4">
        <f t="shared" si="48"/>
        <v>-1.5806451612903203</v>
      </c>
      <c r="AF35" s="4">
        <f t="shared" si="28"/>
        <v>0</v>
      </c>
      <c r="AG35" s="2" t="b">
        <f>AF35&lt;=-$AD$128</f>
        <v>0</v>
      </c>
      <c r="AH35" s="1">
        <v>91</v>
      </c>
      <c r="AI35" s="4">
        <f t="shared" si="49"/>
        <v>3.1612903225806406</v>
      </c>
      <c r="AJ35" s="4">
        <f t="shared" si="29"/>
        <v>0</v>
      </c>
      <c r="AK35" s="2" t="b">
        <f>AJ35&lt;=-$AH$128</f>
        <v>0</v>
      </c>
      <c r="AL35" s="1">
        <v>88</v>
      </c>
      <c r="AM35" s="4">
        <f t="shared" si="50"/>
        <v>1.0645161290322562</v>
      </c>
      <c r="AN35" s="4">
        <f t="shared" si="30"/>
        <v>-7.4007387429300557</v>
      </c>
      <c r="AO35" s="2" t="b">
        <f>AN35&lt;=-$AL$128</f>
        <v>0</v>
      </c>
      <c r="AP35" s="1">
        <v>97</v>
      </c>
      <c r="AQ35" s="4">
        <f t="shared" si="51"/>
        <v>6.8064516129032313</v>
      </c>
      <c r="AR35" s="4">
        <f t="shared" si="31"/>
        <v>0</v>
      </c>
      <c r="AS35" s="2" t="b">
        <f>AR35&lt;=-$AP$128</f>
        <v>0</v>
      </c>
      <c r="AT35" s="1">
        <v>94</v>
      </c>
      <c r="AU35" s="4">
        <f t="shared" si="52"/>
        <v>7.5806451612903203</v>
      </c>
      <c r="AV35" s="4">
        <f t="shared" si="32"/>
        <v>0</v>
      </c>
      <c r="AW35" s="2" t="b">
        <f>AV35&lt;=-$AT$128</f>
        <v>0</v>
      </c>
      <c r="AX35" s="1">
        <v>91</v>
      </c>
      <c r="AY35" s="4">
        <f t="shared" si="53"/>
        <v>1.8387096774193594</v>
      </c>
      <c r="AZ35" s="4">
        <f t="shared" si="33"/>
        <v>0</v>
      </c>
      <c r="BA35" s="2" t="b">
        <f>AZ35&lt;=-$AX$128</f>
        <v>0</v>
      </c>
      <c r="BB35" s="1">
        <v>90</v>
      </c>
      <c r="BC35" s="4">
        <f t="shared" si="54"/>
        <v>3.3548387096774235</v>
      </c>
      <c r="BD35" s="4">
        <f t="shared" si="34"/>
        <v>0</v>
      </c>
      <c r="BE35" s="2" t="b">
        <f>BD35&lt;=-$BB$128</f>
        <v>0</v>
      </c>
      <c r="BF35" s="1">
        <v>92</v>
      </c>
      <c r="BG35" s="4">
        <f t="shared" si="55"/>
        <v>0.74193548387096087</v>
      </c>
      <c r="BH35" s="4">
        <f t="shared" si="35"/>
        <v>-2.4584799433110991</v>
      </c>
      <c r="BI35" s="2" t="b">
        <f>BH35&lt;=-$BF$128</f>
        <v>0</v>
      </c>
      <c r="BJ35" s="1">
        <v>97</v>
      </c>
      <c r="BK35" s="4">
        <f t="shared" si="56"/>
        <v>5.0645161290322562</v>
      </c>
      <c r="BL35" s="4">
        <f t="shared" si="36"/>
        <v>0</v>
      </c>
      <c r="BM35" s="2" t="b">
        <f>BL35&lt;=-$BJ$128</f>
        <v>0</v>
      </c>
      <c r="BN35" s="1">
        <v>94</v>
      </c>
      <c r="BO35" s="4">
        <f t="shared" si="57"/>
        <v>-9.6774193548384346E-2</v>
      </c>
      <c r="BP35" s="4">
        <f t="shared" si="37"/>
        <v>0</v>
      </c>
      <c r="BQ35" s="2" t="b">
        <f>BP35&lt;=-$BN$128</f>
        <v>0</v>
      </c>
      <c r="BR35" s="1">
        <v>88</v>
      </c>
      <c r="BS35" s="4">
        <f t="shared" si="58"/>
        <v>3.2903225806451672</v>
      </c>
      <c r="BT35" s="4">
        <f t="shared" si="38"/>
        <v>0</v>
      </c>
      <c r="BU35" s="2" t="b">
        <f>BT35&lt;=-$BR$128</f>
        <v>0</v>
      </c>
      <c r="BV35" s="1">
        <v>88</v>
      </c>
      <c r="BW35" s="2">
        <f t="shared" si="59"/>
        <v>1.3870967741935516</v>
      </c>
      <c r="BX35" s="4">
        <f t="shared" si="39"/>
        <v>-4.9253752881087145</v>
      </c>
      <c r="BY35" s="2" t="b">
        <f>BX35&lt;=-$BV$128</f>
        <v>0</v>
      </c>
      <c r="BZ35" s="1">
        <v>94</v>
      </c>
      <c r="CA35" s="2">
        <f t="shared" si="60"/>
        <v>3.9354838709677438</v>
      </c>
      <c r="CB35" s="4">
        <f t="shared" si="40"/>
        <v>0</v>
      </c>
      <c r="CC35" s="2" t="b">
        <f t="shared" si="61"/>
        <v>0</v>
      </c>
    </row>
    <row r="36" spans="1:81" x14ac:dyDescent="0.2">
      <c r="A36" s="3">
        <v>45873</v>
      </c>
      <c r="B36" s="1">
        <v>91</v>
      </c>
      <c r="C36" s="2">
        <f t="shared" si="41"/>
        <v>-0.19354838709676869</v>
      </c>
      <c r="D36" s="4">
        <f t="shared" si="21"/>
        <v>-28.168956239537877</v>
      </c>
      <c r="E36" s="2" t="b">
        <f>D36&lt;=-$B$128</f>
        <v>1</v>
      </c>
      <c r="F36" s="1">
        <v>89</v>
      </c>
      <c r="G36" s="4">
        <f t="shared" si="42"/>
        <v>1.7419354838709609</v>
      </c>
      <c r="H36" s="4">
        <f t="shared" si="22"/>
        <v>-12.222957982883685</v>
      </c>
      <c r="I36" s="2" t="b">
        <f>H36&lt;=-$F$128</f>
        <v>0</v>
      </c>
      <c r="J36" s="1">
        <v>86</v>
      </c>
      <c r="K36" s="4">
        <f t="shared" si="43"/>
        <v>-3.7096774193548328</v>
      </c>
      <c r="L36" s="4">
        <f t="shared" si="23"/>
        <v>-25.052139056211619</v>
      </c>
      <c r="M36" s="2" t="b">
        <f>L36&lt;=-$J$128</f>
        <v>1</v>
      </c>
      <c r="N36" s="1">
        <v>89</v>
      </c>
      <c r="O36" s="4">
        <f t="shared" si="44"/>
        <v>1.3548387096774235</v>
      </c>
      <c r="P36" s="4">
        <f t="shared" si="24"/>
        <v>0</v>
      </c>
      <c r="Q36" s="2" t="b">
        <f>P36&lt;=-$N$128</f>
        <v>0</v>
      </c>
      <c r="R36" s="1">
        <v>88</v>
      </c>
      <c r="S36" s="4">
        <f t="shared" si="45"/>
        <v>-3.7419354838709609</v>
      </c>
      <c r="T36" s="4">
        <f t="shared" si="25"/>
        <v>-50.847221780927811</v>
      </c>
      <c r="U36" s="2" t="b">
        <f>T36&lt;=-$R$128</f>
        <v>1</v>
      </c>
      <c r="V36" s="1">
        <v>86</v>
      </c>
      <c r="W36" s="4">
        <f t="shared" si="46"/>
        <v>-0.74193548387096087</v>
      </c>
      <c r="X36" s="4">
        <f t="shared" si="26"/>
        <v>-3.7532047700719033</v>
      </c>
      <c r="Y36" s="2" t="b">
        <f>X36&lt;=-$V$128</f>
        <v>0</v>
      </c>
      <c r="Z36" s="1">
        <v>91</v>
      </c>
      <c r="AA36" s="4">
        <f t="shared" si="47"/>
        <v>1.7419354838709609</v>
      </c>
      <c r="AB36" s="4">
        <f t="shared" si="27"/>
        <v>0</v>
      </c>
      <c r="AC36" s="2" t="b">
        <f>AB36&lt;=-$Z$128</f>
        <v>0</v>
      </c>
      <c r="AD36" s="1">
        <v>82</v>
      </c>
      <c r="AE36" s="4">
        <f t="shared" si="48"/>
        <v>-3.5806451612903203</v>
      </c>
      <c r="AF36" s="4">
        <f t="shared" si="28"/>
        <v>-1.8352980441987701</v>
      </c>
      <c r="AG36" s="2" t="b">
        <f>AF36&lt;=-$AD$128</f>
        <v>0</v>
      </c>
      <c r="AH36" s="1">
        <v>91</v>
      </c>
      <c r="AI36" s="4">
        <f t="shared" si="49"/>
        <v>3.1612903225806406</v>
      </c>
      <c r="AJ36" s="4">
        <f t="shared" si="29"/>
        <v>0</v>
      </c>
      <c r="AK36" s="2" t="b">
        <f>AJ36&lt;=-$AH$128</f>
        <v>0</v>
      </c>
      <c r="AL36" s="1">
        <v>91</v>
      </c>
      <c r="AM36" s="4">
        <f t="shared" si="50"/>
        <v>4.0645161290322562</v>
      </c>
      <c r="AN36" s="4">
        <f t="shared" si="30"/>
        <v>-1.134195200085065</v>
      </c>
      <c r="AO36" s="2" t="b">
        <f>AN36&lt;=-$AL$128</f>
        <v>0</v>
      </c>
      <c r="AP36" s="1">
        <v>98</v>
      </c>
      <c r="AQ36" s="4">
        <f t="shared" si="51"/>
        <v>7.8064516129032313</v>
      </c>
      <c r="AR36" s="4">
        <f t="shared" si="31"/>
        <v>0</v>
      </c>
      <c r="AS36" s="2" t="b">
        <f>AR36&lt;=-$AP$128</f>
        <v>0</v>
      </c>
      <c r="AT36" s="1">
        <v>97</v>
      </c>
      <c r="AU36" s="4">
        <f t="shared" si="52"/>
        <v>10.58064516129032</v>
      </c>
      <c r="AV36" s="4">
        <f t="shared" si="32"/>
        <v>0</v>
      </c>
      <c r="AW36" s="2" t="b">
        <f>AV36&lt;=-$AT$128</f>
        <v>0</v>
      </c>
      <c r="AX36" s="1">
        <v>91</v>
      </c>
      <c r="AY36" s="4">
        <f t="shared" si="53"/>
        <v>1.8387096774193594</v>
      </c>
      <c r="AZ36" s="4">
        <f t="shared" si="33"/>
        <v>0</v>
      </c>
      <c r="BA36" s="2" t="b">
        <f>AZ36&lt;=-$AX$128</f>
        <v>0</v>
      </c>
      <c r="BB36" s="1">
        <v>92</v>
      </c>
      <c r="BC36" s="4">
        <f t="shared" si="54"/>
        <v>5.3548387096774235</v>
      </c>
      <c r="BD36" s="4">
        <f t="shared" si="34"/>
        <v>0</v>
      </c>
      <c r="BE36" s="2" t="b">
        <f>BD36&lt;=-$BB$128</f>
        <v>0</v>
      </c>
      <c r="BF36" s="1">
        <v>95</v>
      </c>
      <c r="BG36" s="4">
        <f t="shared" si="55"/>
        <v>3.7419354838709609</v>
      </c>
      <c r="BH36" s="4">
        <f t="shared" si="35"/>
        <v>0</v>
      </c>
      <c r="BI36" s="2" t="b">
        <f>BH36&lt;=-$BF$128</f>
        <v>0</v>
      </c>
      <c r="BJ36" s="1">
        <v>85</v>
      </c>
      <c r="BK36" s="4">
        <f t="shared" si="56"/>
        <v>-6.9354838709677438</v>
      </c>
      <c r="BL36" s="4">
        <f t="shared" si="36"/>
        <v>-5.1989380472563553</v>
      </c>
      <c r="BM36" s="2" t="b">
        <f>BL36&lt;=-$BJ$128</f>
        <v>0</v>
      </c>
      <c r="BN36" s="1">
        <v>87</v>
      </c>
      <c r="BO36" s="4">
        <f t="shared" si="57"/>
        <v>-7.0967741935483843</v>
      </c>
      <c r="BP36" s="4">
        <f t="shared" si="37"/>
        <v>-4.8041961733940814</v>
      </c>
      <c r="BQ36" s="2" t="b">
        <f>BP36&lt;=-$BN$128</f>
        <v>0</v>
      </c>
      <c r="BR36" s="1">
        <v>90</v>
      </c>
      <c r="BS36" s="4">
        <f t="shared" si="58"/>
        <v>5.2903225806451672</v>
      </c>
      <c r="BT36" s="4">
        <f t="shared" si="38"/>
        <v>0</v>
      </c>
      <c r="BU36" s="2" t="b">
        <f>BT36&lt;=-$BR$128</f>
        <v>0</v>
      </c>
      <c r="BV36" s="1">
        <v>90</v>
      </c>
      <c r="BW36" s="2">
        <f t="shared" si="59"/>
        <v>3.3870967741935516</v>
      </c>
      <c r="BX36" s="4">
        <f t="shared" si="39"/>
        <v>0</v>
      </c>
      <c r="BY36" s="2" t="b">
        <f>BX36&lt;=-$BV$128</f>
        <v>0</v>
      </c>
      <c r="BZ36" s="1">
        <v>97</v>
      </c>
      <c r="CA36" s="2">
        <f t="shared" si="60"/>
        <v>6.9354838709677438</v>
      </c>
      <c r="CB36" s="4">
        <f t="shared" si="40"/>
        <v>0</v>
      </c>
      <c r="CC36" s="2" t="b">
        <f t="shared" si="61"/>
        <v>0</v>
      </c>
    </row>
    <row r="37" spans="1:81" x14ac:dyDescent="0.2">
      <c r="A37" s="3">
        <v>45874</v>
      </c>
      <c r="B37" s="1">
        <v>93</v>
      </c>
      <c r="C37" s="2">
        <f t="shared" si="41"/>
        <v>1.8064516129032313</v>
      </c>
      <c r="D37" s="4">
        <f t="shared" si="21"/>
        <v>-23.911588624950411</v>
      </c>
      <c r="E37" s="2" t="b">
        <f>D37&lt;=-$B$128</f>
        <v>0</v>
      </c>
      <c r="F37" s="1">
        <v>88</v>
      </c>
      <c r="G37" s="4">
        <f t="shared" si="42"/>
        <v>0.74193548387096087</v>
      </c>
      <c r="H37" s="4">
        <f t="shared" si="22"/>
        <v>-9.2675495794604217</v>
      </c>
      <c r="I37" s="2" t="b">
        <f>H37&lt;=-$F$128</f>
        <v>0</v>
      </c>
      <c r="J37" s="1">
        <v>90</v>
      </c>
      <c r="K37" s="4">
        <f t="shared" si="43"/>
        <v>0.29032258064516725</v>
      </c>
      <c r="L37" s="4">
        <f t="shared" si="23"/>
        <v>-23.238697152230856</v>
      </c>
      <c r="M37" s="2" t="b">
        <f>L37&lt;=-$J$128</f>
        <v>1</v>
      </c>
      <c r="N37" s="1">
        <v>91</v>
      </c>
      <c r="O37" s="4">
        <f t="shared" si="44"/>
        <v>3.3548387096774235</v>
      </c>
      <c r="P37" s="4">
        <f t="shared" si="24"/>
        <v>0</v>
      </c>
      <c r="Q37" s="2" t="b">
        <f>P37&lt;=-$N$128</f>
        <v>0</v>
      </c>
      <c r="R37" s="1">
        <v>91</v>
      </c>
      <c r="S37" s="4">
        <f t="shared" si="45"/>
        <v>-0.74193548387096087</v>
      </c>
      <c r="T37" s="4">
        <f t="shared" si="25"/>
        <v>-48.83546961022995</v>
      </c>
      <c r="U37" s="2" t="b">
        <f>T37&lt;=-$R$128</f>
        <v>1</v>
      </c>
      <c r="V37" s="1">
        <v>88</v>
      </c>
      <c r="W37" s="4">
        <f t="shared" si="46"/>
        <v>1.2580645161290391</v>
      </c>
      <c r="X37" s="4">
        <f t="shared" si="26"/>
        <v>-1.1915059625898794</v>
      </c>
      <c r="Y37" s="2" t="b">
        <f>X37&lt;=-$V$128</f>
        <v>0</v>
      </c>
      <c r="Z37" s="1">
        <v>93</v>
      </c>
      <c r="AA37" s="4">
        <f t="shared" si="47"/>
        <v>3.7419354838709609</v>
      </c>
      <c r="AB37" s="4">
        <f t="shared" si="27"/>
        <v>0</v>
      </c>
      <c r="AC37" s="2" t="b">
        <f>AB37&lt;=-$Z$128</f>
        <v>0</v>
      </c>
      <c r="AD37" s="1">
        <v>84</v>
      </c>
      <c r="AE37" s="4">
        <f t="shared" si="48"/>
        <v>-1.5806451612903203</v>
      </c>
      <c r="AF37" s="4">
        <f t="shared" si="28"/>
        <v>-1.6705960883975399</v>
      </c>
      <c r="AG37" s="2" t="b">
        <f>AF37&lt;=-$AD$128</f>
        <v>0</v>
      </c>
      <c r="AH37" s="1">
        <v>90</v>
      </c>
      <c r="AI37" s="4">
        <f t="shared" si="49"/>
        <v>2.1612903225806406</v>
      </c>
      <c r="AJ37" s="4">
        <f t="shared" si="29"/>
        <v>0</v>
      </c>
      <c r="AK37" s="2" t="b">
        <f>AJ37&lt;=-$AH$128</f>
        <v>0</v>
      </c>
      <c r="AL37" s="1">
        <v>88</v>
      </c>
      <c r="AM37" s="4">
        <f t="shared" si="50"/>
        <v>1.0645161290322562</v>
      </c>
      <c r="AN37" s="4">
        <f t="shared" si="30"/>
        <v>0</v>
      </c>
      <c r="AO37" s="2" t="b">
        <f>AN37&lt;=-$AL$128</f>
        <v>0</v>
      </c>
      <c r="AP37" s="1">
        <v>96</v>
      </c>
      <c r="AQ37" s="4">
        <f t="shared" si="51"/>
        <v>5.8064516129032313</v>
      </c>
      <c r="AR37" s="4">
        <f t="shared" si="31"/>
        <v>0</v>
      </c>
      <c r="AS37" s="2" t="b">
        <f>AR37&lt;=-$AP$128</f>
        <v>0</v>
      </c>
      <c r="AT37" s="1">
        <v>96</v>
      </c>
      <c r="AU37" s="4">
        <f t="shared" si="52"/>
        <v>9.5806451612903203</v>
      </c>
      <c r="AV37" s="4">
        <f t="shared" si="32"/>
        <v>0</v>
      </c>
      <c r="AW37" s="2" t="b">
        <f>AV37&lt;=-$AT$128</f>
        <v>0</v>
      </c>
      <c r="AX37" s="1">
        <v>92</v>
      </c>
      <c r="AY37" s="4">
        <f t="shared" si="53"/>
        <v>2.8387096774193594</v>
      </c>
      <c r="AZ37" s="4">
        <f t="shared" si="33"/>
        <v>0</v>
      </c>
      <c r="BA37" s="2" t="b">
        <f>AZ37&lt;=-$AX$128</f>
        <v>0</v>
      </c>
      <c r="BB37" s="1">
        <v>92</v>
      </c>
      <c r="BC37" s="4">
        <f t="shared" si="54"/>
        <v>5.3548387096774235</v>
      </c>
      <c r="BD37" s="4">
        <f t="shared" si="34"/>
        <v>0</v>
      </c>
      <c r="BE37" s="2" t="b">
        <f>BD37&lt;=-$BB$128</f>
        <v>0</v>
      </c>
      <c r="BF37" s="1">
        <v>93</v>
      </c>
      <c r="BG37" s="4">
        <f t="shared" si="55"/>
        <v>1.7419354838709609</v>
      </c>
      <c r="BH37" s="4">
        <f t="shared" si="35"/>
        <v>0</v>
      </c>
      <c r="BI37" s="2" t="b">
        <f>BH37&lt;=-$BF$128</f>
        <v>0</v>
      </c>
      <c r="BJ37" s="1">
        <v>96</v>
      </c>
      <c r="BK37" s="4">
        <f t="shared" si="56"/>
        <v>4.0645161290322562</v>
      </c>
      <c r="BL37" s="4">
        <f t="shared" si="36"/>
        <v>0</v>
      </c>
      <c r="BM37" s="2" t="b">
        <f>BL37&lt;=-$BJ$128</f>
        <v>0</v>
      </c>
      <c r="BN37" s="1">
        <v>90</v>
      </c>
      <c r="BO37" s="4">
        <f t="shared" si="57"/>
        <v>-4.0967741935483843</v>
      </c>
      <c r="BP37" s="4">
        <f t="shared" si="37"/>
        <v>-6.6083923467881638</v>
      </c>
      <c r="BQ37" s="2" t="b">
        <f>BP37&lt;=-$BN$128</f>
        <v>0</v>
      </c>
      <c r="BR37" s="1">
        <v>88</v>
      </c>
      <c r="BS37" s="4">
        <f t="shared" si="58"/>
        <v>3.2903225806451672</v>
      </c>
      <c r="BT37" s="4">
        <f t="shared" si="38"/>
        <v>0</v>
      </c>
      <c r="BU37" s="2" t="b">
        <f>BT37&lt;=-$BR$128</f>
        <v>0</v>
      </c>
      <c r="BV37" s="1">
        <v>89</v>
      </c>
      <c r="BW37" s="2">
        <f t="shared" si="59"/>
        <v>2.3870967741935516</v>
      </c>
      <c r="BX37" s="4">
        <f t="shared" si="39"/>
        <v>0</v>
      </c>
      <c r="BY37" s="2" t="b">
        <f>BX37&lt;=-$BV$128</f>
        <v>0</v>
      </c>
      <c r="BZ37" s="1">
        <v>95</v>
      </c>
      <c r="CA37" s="2">
        <f t="shared" si="60"/>
        <v>4.9354838709677438</v>
      </c>
      <c r="CB37" s="4">
        <f t="shared" si="40"/>
        <v>0</v>
      </c>
      <c r="CC37" s="2" t="b">
        <f t="shared" si="61"/>
        <v>0</v>
      </c>
    </row>
    <row r="38" spans="1:81" x14ac:dyDescent="0.2">
      <c r="A38" s="3">
        <v>45875</v>
      </c>
      <c r="B38" s="1">
        <v>88</v>
      </c>
      <c r="C38" s="2">
        <f t="shared" si="41"/>
        <v>-3.1935483870967687</v>
      </c>
      <c r="D38" s="4">
        <f t="shared" si="21"/>
        <v>-24.654221010362946</v>
      </c>
      <c r="E38" s="2" t="b">
        <f>D38&lt;=-$B$128</f>
        <v>1</v>
      </c>
      <c r="F38" s="1">
        <v>84</v>
      </c>
      <c r="G38" s="4">
        <f t="shared" si="42"/>
        <v>-3.2580645161290391</v>
      </c>
      <c r="H38" s="4">
        <f t="shared" si="22"/>
        <v>-10.312141176037159</v>
      </c>
      <c r="I38" s="2" t="b">
        <f>H38&lt;=-$F$128</f>
        <v>0</v>
      </c>
      <c r="J38" s="1">
        <v>89</v>
      </c>
      <c r="K38" s="4">
        <f t="shared" si="43"/>
        <v>-0.70967741935483275</v>
      </c>
      <c r="L38" s="4">
        <f t="shared" si="23"/>
        <v>-22.425255248250092</v>
      </c>
      <c r="M38" s="2" t="b">
        <f>L38&lt;=-$J$128</f>
        <v>1</v>
      </c>
      <c r="N38" s="1">
        <v>93</v>
      </c>
      <c r="O38" s="4">
        <f t="shared" si="44"/>
        <v>5.3548387096774235</v>
      </c>
      <c r="P38" s="4">
        <f t="shared" si="24"/>
        <v>0</v>
      </c>
      <c r="Q38" s="2" t="b">
        <f>P38&lt;=-$N$128</f>
        <v>0</v>
      </c>
      <c r="R38" s="1">
        <v>91</v>
      </c>
      <c r="S38" s="4">
        <f t="shared" si="45"/>
        <v>-0.74193548387096087</v>
      </c>
      <c r="T38" s="4">
        <f t="shared" si="25"/>
        <v>-46.823717439532089</v>
      </c>
      <c r="U38" s="2" t="b">
        <f>T38&lt;=-$R$128</f>
        <v>1</v>
      </c>
      <c r="V38" s="1">
        <v>84</v>
      </c>
      <c r="W38" s="4">
        <f t="shared" si="46"/>
        <v>-2.7419354838709609</v>
      </c>
      <c r="X38" s="4">
        <f t="shared" si="26"/>
        <v>-2.629807155107855</v>
      </c>
      <c r="Y38" s="2" t="b">
        <f>X38&lt;=-$V$128</f>
        <v>0</v>
      </c>
      <c r="Z38" s="1">
        <v>97</v>
      </c>
      <c r="AA38" s="4">
        <f t="shared" si="47"/>
        <v>7.7419354838709609</v>
      </c>
      <c r="AB38" s="4">
        <f t="shared" si="27"/>
        <v>0</v>
      </c>
      <c r="AC38" s="2" t="b">
        <f>AB38&lt;=-$Z$128</f>
        <v>0</v>
      </c>
      <c r="AD38" s="1">
        <v>82</v>
      </c>
      <c r="AE38" s="4">
        <f t="shared" si="48"/>
        <v>-3.5806451612903203</v>
      </c>
      <c r="AF38" s="4">
        <f t="shared" si="28"/>
        <v>-3.5058941325963096</v>
      </c>
      <c r="AG38" s="2" t="b">
        <f>AF38&lt;=-$AD$128</f>
        <v>0</v>
      </c>
      <c r="AH38" s="1">
        <v>84</v>
      </c>
      <c r="AI38" s="4">
        <f t="shared" si="49"/>
        <v>-3.8387096774193594</v>
      </c>
      <c r="AJ38" s="4">
        <f t="shared" si="29"/>
        <v>-2.2889958640893608</v>
      </c>
      <c r="AK38" s="2" t="b">
        <f>AJ38&lt;=-$AH$128</f>
        <v>0</v>
      </c>
      <c r="AL38" s="1">
        <v>86</v>
      </c>
      <c r="AM38" s="4">
        <f t="shared" si="50"/>
        <v>-0.93548387096774377</v>
      </c>
      <c r="AN38" s="4">
        <f t="shared" si="30"/>
        <v>0</v>
      </c>
      <c r="AO38" s="2" t="b">
        <f>AN38&lt;=-$AL$128</f>
        <v>0</v>
      </c>
      <c r="AP38" s="1">
        <v>89</v>
      </c>
      <c r="AQ38" s="4">
        <f t="shared" si="51"/>
        <v>-1.1935483870967687</v>
      </c>
      <c r="AR38" s="4">
        <f t="shared" si="31"/>
        <v>0</v>
      </c>
      <c r="AS38" s="2" t="b">
        <f>AR38&lt;=-$AP$128</f>
        <v>0</v>
      </c>
      <c r="AT38" s="1">
        <v>98</v>
      </c>
      <c r="AU38" s="4">
        <f t="shared" si="52"/>
        <v>11.58064516129032</v>
      </c>
      <c r="AV38" s="4">
        <f t="shared" si="32"/>
        <v>0</v>
      </c>
      <c r="AW38" s="2" t="b">
        <f>AV38&lt;=-$AT$128</f>
        <v>0</v>
      </c>
      <c r="AX38" s="1">
        <v>94</v>
      </c>
      <c r="AY38" s="4">
        <f t="shared" si="53"/>
        <v>4.8387096774193594</v>
      </c>
      <c r="AZ38" s="4">
        <f t="shared" si="33"/>
        <v>0</v>
      </c>
      <c r="BA38" s="2" t="b">
        <f>AZ38&lt;=-$AX$128</f>
        <v>0</v>
      </c>
      <c r="BB38" s="1">
        <v>89</v>
      </c>
      <c r="BC38" s="4">
        <f t="shared" si="54"/>
        <v>2.3548387096774235</v>
      </c>
      <c r="BD38" s="4">
        <f t="shared" si="34"/>
        <v>0</v>
      </c>
      <c r="BE38" s="2" t="b">
        <f>BD38&lt;=-$BB$128</f>
        <v>0</v>
      </c>
      <c r="BF38" s="1">
        <v>93</v>
      </c>
      <c r="BG38" s="4">
        <f t="shared" si="55"/>
        <v>1.7419354838709609</v>
      </c>
      <c r="BH38" s="4">
        <f t="shared" si="35"/>
        <v>0</v>
      </c>
      <c r="BI38" s="2" t="b">
        <f>BH38&lt;=-$BF$128</f>
        <v>0</v>
      </c>
      <c r="BJ38" s="1">
        <v>93</v>
      </c>
      <c r="BK38" s="4">
        <f t="shared" si="56"/>
        <v>1.0645161290322562</v>
      </c>
      <c r="BL38" s="4">
        <f t="shared" si="36"/>
        <v>0</v>
      </c>
      <c r="BM38" s="2" t="b">
        <f>BL38&lt;=-$BJ$128</f>
        <v>0</v>
      </c>
      <c r="BN38" s="1">
        <v>86</v>
      </c>
      <c r="BO38" s="4">
        <f t="shared" si="57"/>
        <v>-8.0967741935483843</v>
      </c>
      <c r="BP38" s="4">
        <f t="shared" si="37"/>
        <v>-12.412588520182247</v>
      </c>
      <c r="BQ38" s="2" t="b">
        <f>BP38&lt;=-$BN$128</f>
        <v>0</v>
      </c>
      <c r="BR38" s="1">
        <v>88</v>
      </c>
      <c r="BS38" s="4">
        <f t="shared" si="58"/>
        <v>3.2903225806451672</v>
      </c>
      <c r="BT38" s="4">
        <f t="shared" si="38"/>
        <v>0</v>
      </c>
      <c r="BU38" s="2" t="b">
        <f>BT38&lt;=-$BR$128</f>
        <v>0</v>
      </c>
      <c r="BV38" s="1">
        <v>92</v>
      </c>
      <c r="BW38" s="2">
        <f t="shared" si="59"/>
        <v>5.3870967741935516</v>
      </c>
      <c r="BX38" s="4">
        <f t="shared" si="39"/>
        <v>0</v>
      </c>
      <c r="BY38" s="2" t="b">
        <f>BX38&lt;=-$BV$128</f>
        <v>0</v>
      </c>
      <c r="BZ38" s="1">
        <v>88</v>
      </c>
      <c r="CA38" s="2">
        <f t="shared" si="60"/>
        <v>-2.0645161290322562</v>
      </c>
      <c r="CB38" s="4">
        <f t="shared" si="40"/>
        <v>-0.28530523713397793</v>
      </c>
      <c r="CC38" s="2" t="b">
        <f t="shared" si="61"/>
        <v>0</v>
      </c>
    </row>
    <row r="39" spans="1:81" x14ac:dyDescent="0.2">
      <c r="A39" s="3">
        <v>45876</v>
      </c>
      <c r="B39" s="1">
        <v>91</v>
      </c>
      <c r="C39" s="2">
        <f t="shared" si="41"/>
        <v>-0.19354838709676869</v>
      </c>
      <c r="D39" s="4">
        <f t="shared" si="21"/>
        <v>-22.39685339577548</v>
      </c>
      <c r="E39" s="2" t="b">
        <f>D39&lt;=-$B$128</f>
        <v>0</v>
      </c>
      <c r="F39" s="1">
        <v>84</v>
      </c>
      <c r="G39" s="4">
        <f t="shared" si="42"/>
        <v>-3.2580645161290391</v>
      </c>
      <c r="H39" s="4">
        <f t="shared" si="22"/>
        <v>-11.356732772613896</v>
      </c>
      <c r="I39" s="2" t="b">
        <f>H39&lt;=-$F$128</f>
        <v>0</v>
      </c>
      <c r="J39" s="1">
        <v>89</v>
      </c>
      <c r="K39" s="4">
        <f t="shared" si="43"/>
        <v>-0.70967741935483275</v>
      </c>
      <c r="L39" s="4">
        <f t="shared" si="23"/>
        <v>-21.611813344269329</v>
      </c>
      <c r="M39" s="2" t="b">
        <f>L39&lt;=-$J$128</f>
        <v>1</v>
      </c>
      <c r="N39" s="1">
        <v>93</v>
      </c>
      <c r="O39" s="4">
        <f t="shared" si="44"/>
        <v>5.3548387096774235</v>
      </c>
      <c r="P39" s="4">
        <f t="shared" si="24"/>
        <v>0</v>
      </c>
      <c r="Q39" s="2" t="b">
        <f>P39&lt;=-$N$128</f>
        <v>0</v>
      </c>
      <c r="R39" s="1">
        <v>91</v>
      </c>
      <c r="S39" s="4">
        <f t="shared" si="45"/>
        <v>-0.74193548387096087</v>
      </c>
      <c r="T39" s="4">
        <f t="shared" si="25"/>
        <v>-44.811965268834228</v>
      </c>
      <c r="U39" s="2" t="b">
        <f>T39&lt;=-$R$128</f>
        <v>1</v>
      </c>
      <c r="V39" s="1">
        <v>86</v>
      </c>
      <c r="W39" s="4">
        <f t="shared" si="46"/>
        <v>-0.74193548387096087</v>
      </c>
      <c r="X39" s="4">
        <f t="shared" si="26"/>
        <v>-2.0681083476258308</v>
      </c>
      <c r="Y39" s="2" t="b">
        <f>X39&lt;=-$V$128</f>
        <v>0</v>
      </c>
      <c r="Z39" s="1">
        <v>87</v>
      </c>
      <c r="AA39" s="4">
        <f t="shared" si="47"/>
        <v>-2.2580645161290391</v>
      </c>
      <c r="AB39" s="4">
        <f t="shared" si="27"/>
        <v>-0.38737951710023544</v>
      </c>
      <c r="AC39" s="2" t="b">
        <f>AB39&lt;=-$Z$128</f>
        <v>0</v>
      </c>
      <c r="AD39" s="1">
        <v>84</v>
      </c>
      <c r="AE39" s="4">
        <f t="shared" si="48"/>
        <v>-1.5806451612903203</v>
      </c>
      <c r="AF39" s="4">
        <f t="shared" si="28"/>
        <v>-3.3411921767950794</v>
      </c>
      <c r="AG39" s="2" t="b">
        <f>AF39&lt;=-$AD$128</f>
        <v>0</v>
      </c>
      <c r="AH39" s="1">
        <v>81</v>
      </c>
      <c r="AI39" s="4">
        <f t="shared" si="49"/>
        <v>-6.8387096774193594</v>
      </c>
      <c r="AJ39" s="4">
        <f t="shared" si="29"/>
        <v>-7.5779917281787226</v>
      </c>
      <c r="AK39" s="2" t="b">
        <f>AJ39&lt;=-$AH$128</f>
        <v>0</v>
      </c>
      <c r="AL39" s="1">
        <v>80</v>
      </c>
      <c r="AM39" s="4">
        <f t="shared" si="50"/>
        <v>-6.9354838709677438</v>
      </c>
      <c r="AN39" s="4">
        <f t="shared" si="30"/>
        <v>-4.7334564571550093</v>
      </c>
      <c r="AO39" s="2" t="b">
        <f>AN39&lt;=-$AL$128</f>
        <v>0</v>
      </c>
      <c r="AP39" s="1">
        <v>97</v>
      </c>
      <c r="AQ39" s="4">
        <f t="shared" si="51"/>
        <v>6.8064516129032313</v>
      </c>
      <c r="AR39" s="4">
        <f t="shared" si="31"/>
        <v>0</v>
      </c>
      <c r="AS39" s="2" t="b">
        <f>AR39&lt;=-$AP$128</f>
        <v>0</v>
      </c>
      <c r="AT39" s="1">
        <v>98</v>
      </c>
      <c r="AU39" s="4">
        <f t="shared" si="52"/>
        <v>11.58064516129032</v>
      </c>
      <c r="AV39" s="4">
        <f t="shared" si="32"/>
        <v>0</v>
      </c>
      <c r="AW39" s="2" t="b">
        <f>AV39&lt;=-$AT$128</f>
        <v>0</v>
      </c>
      <c r="AX39" s="1">
        <v>90</v>
      </c>
      <c r="AY39" s="4">
        <f t="shared" si="53"/>
        <v>0.83870967741935942</v>
      </c>
      <c r="AZ39" s="4">
        <f t="shared" si="33"/>
        <v>0</v>
      </c>
      <c r="BA39" s="2" t="b">
        <f>AZ39&lt;=-$AX$128</f>
        <v>0</v>
      </c>
      <c r="BB39" s="1">
        <v>91</v>
      </c>
      <c r="BC39" s="4">
        <f t="shared" si="54"/>
        <v>4.3548387096774235</v>
      </c>
      <c r="BD39" s="4">
        <f t="shared" si="34"/>
        <v>0</v>
      </c>
      <c r="BE39" s="2" t="b">
        <f>BD39&lt;=-$BB$128</f>
        <v>0</v>
      </c>
      <c r="BF39" s="1">
        <v>91</v>
      </c>
      <c r="BG39" s="4">
        <f t="shared" si="55"/>
        <v>-0.25806451612903913</v>
      </c>
      <c r="BH39" s="4">
        <f t="shared" si="35"/>
        <v>0</v>
      </c>
      <c r="BI39" s="2" t="b">
        <f>BH39&lt;=-$BF$128</f>
        <v>0</v>
      </c>
      <c r="BJ39" s="1">
        <v>93</v>
      </c>
      <c r="BK39" s="4">
        <f t="shared" si="56"/>
        <v>1.0645161290322562</v>
      </c>
      <c r="BL39" s="4">
        <f t="shared" si="36"/>
        <v>0</v>
      </c>
      <c r="BM39" s="2" t="b">
        <f>BL39&lt;=-$BJ$128</f>
        <v>0</v>
      </c>
      <c r="BN39" s="1">
        <v>84</v>
      </c>
      <c r="BO39" s="4">
        <f t="shared" si="57"/>
        <v>-10.096774193548384</v>
      </c>
      <c r="BP39" s="4">
        <f t="shared" si="37"/>
        <v>-20.216784693576329</v>
      </c>
      <c r="BQ39" s="2" t="b">
        <f>BP39&lt;=-$BN$128</f>
        <v>0</v>
      </c>
      <c r="BR39" s="1">
        <v>86</v>
      </c>
      <c r="BS39" s="4">
        <f t="shared" si="58"/>
        <v>1.2903225806451672</v>
      </c>
      <c r="BT39" s="4">
        <f t="shared" si="38"/>
        <v>0</v>
      </c>
      <c r="BU39" s="2" t="b">
        <f>BT39&lt;=-$BR$128</f>
        <v>0</v>
      </c>
      <c r="BV39" s="1">
        <v>95</v>
      </c>
      <c r="BW39" s="2">
        <f t="shared" si="59"/>
        <v>8.3870967741935516</v>
      </c>
      <c r="BX39" s="4">
        <f t="shared" si="39"/>
        <v>0</v>
      </c>
      <c r="BY39" s="2" t="b">
        <f>BX39&lt;=-$BV$128</f>
        <v>0</v>
      </c>
      <c r="BZ39" s="1">
        <v>88</v>
      </c>
      <c r="CA39" s="2">
        <f t="shared" si="60"/>
        <v>-2.0645161290322562</v>
      </c>
      <c r="CB39" s="4">
        <f t="shared" si="40"/>
        <v>-0.57061047426795586</v>
      </c>
      <c r="CC39" s="2" t="b">
        <f t="shared" si="61"/>
        <v>0</v>
      </c>
    </row>
    <row r="40" spans="1:81" x14ac:dyDescent="0.2">
      <c r="A40" s="3">
        <v>45877</v>
      </c>
      <c r="B40" s="1">
        <v>84</v>
      </c>
      <c r="C40" s="2">
        <f t="shared" si="41"/>
        <v>-7.1935483870967687</v>
      </c>
      <c r="D40" s="4">
        <f t="shared" si="21"/>
        <v>-27.139485781188014</v>
      </c>
      <c r="E40" s="2" t="b">
        <f>D40&lt;=-$B$128</f>
        <v>1</v>
      </c>
      <c r="F40" s="1">
        <v>80</v>
      </c>
      <c r="G40" s="4">
        <f t="shared" si="42"/>
        <v>-7.2580645161290391</v>
      </c>
      <c r="H40" s="4">
        <f t="shared" si="22"/>
        <v>-16.401324369190633</v>
      </c>
      <c r="I40" s="2" t="b">
        <f>H40&lt;=-$F$128</f>
        <v>0</v>
      </c>
      <c r="J40" s="1">
        <v>86</v>
      </c>
      <c r="K40" s="4">
        <f t="shared" si="43"/>
        <v>-3.7096774193548328</v>
      </c>
      <c r="L40" s="4">
        <f t="shared" si="23"/>
        <v>-23.798371440288566</v>
      </c>
      <c r="M40" s="2" t="b">
        <f>L40&lt;=-$J$128</f>
        <v>1</v>
      </c>
      <c r="N40" s="1">
        <v>93</v>
      </c>
      <c r="O40" s="4">
        <f t="shared" si="44"/>
        <v>5.3548387096774235</v>
      </c>
      <c r="P40" s="4">
        <f t="shared" si="24"/>
        <v>0</v>
      </c>
      <c r="Q40" s="2" t="b">
        <f>P40&lt;=-$N$128</f>
        <v>0</v>
      </c>
      <c r="R40" s="1">
        <v>91</v>
      </c>
      <c r="S40" s="4">
        <f t="shared" si="45"/>
        <v>-0.74193548387096087</v>
      </c>
      <c r="T40" s="4">
        <f t="shared" si="25"/>
        <v>-42.800213098136368</v>
      </c>
      <c r="U40" s="2" t="b">
        <f>T40&lt;=-$R$128</f>
        <v>1</v>
      </c>
      <c r="V40" s="1">
        <v>88</v>
      </c>
      <c r="W40" s="4">
        <f t="shared" si="46"/>
        <v>1.2580645161290391</v>
      </c>
      <c r="X40" s="4">
        <f t="shared" si="26"/>
        <v>0</v>
      </c>
      <c r="Y40" s="2" t="b">
        <f>X40&lt;=-$V$128</f>
        <v>0</v>
      </c>
      <c r="Z40" s="1">
        <v>87</v>
      </c>
      <c r="AA40" s="4">
        <f t="shared" si="47"/>
        <v>-2.2580645161290391</v>
      </c>
      <c r="AB40" s="4">
        <f t="shared" si="27"/>
        <v>-0.7747590342004711</v>
      </c>
      <c r="AC40" s="2" t="b">
        <f>AB40&lt;=-$Z$128</f>
        <v>0</v>
      </c>
      <c r="AD40" s="1">
        <v>84</v>
      </c>
      <c r="AE40" s="4">
        <f t="shared" si="48"/>
        <v>-1.5806451612903203</v>
      </c>
      <c r="AF40" s="4">
        <f t="shared" si="28"/>
        <v>-3.1764902209938493</v>
      </c>
      <c r="AG40" s="2" t="b">
        <f>AF40&lt;=-$AD$128</f>
        <v>0</v>
      </c>
      <c r="AH40" s="1">
        <v>82</v>
      </c>
      <c r="AI40" s="4">
        <f t="shared" si="49"/>
        <v>-5.8387096774193594</v>
      </c>
      <c r="AJ40" s="4">
        <f t="shared" si="29"/>
        <v>-11.866987592268083</v>
      </c>
      <c r="AK40" s="9" t="b">
        <f>AJ40&lt;=-$AH$128</f>
        <v>0</v>
      </c>
      <c r="AL40" s="1">
        <v>82</v>
      </c>
      <c r="AM40" s="4">
        <f t="shared" si="50"/>
        <v>-4.9354838709677438</v>
      </c>
      <c r="AN40" s="4">
        <f t="shared" si="30"/>
        <v>-7.4669129143100186</v>
      </c>
      <c r="AO40" s="2" t="b">
        <f>AN40&lt;=-$AL$128</f>
        <v>0</v>
      </c>
      <c r="AP40" s="1">
        <v>96</v>
      </c>
      <c r="AQ40" s="4">
        <f t="shared" si="51"/>
        <v>5.8064516129032313</v>
      </c>
      <c r="AR40" s="4">
        <f t="shared" si="31"/>
        <v>0</v>
      </c>
      <c r="AS40" s="2" t="b">
        <f>AR40&lt;=-$AP$128</f>
        <v>0</v>
      </c>
      <c r="AT40" s="1">
        <v>100</v>
      </c>
      <c r="AU40" s="4">
        <f t="shared" si="52"/>
        <v>13.58064516129032</v>
      </c>
      <c r="AV40" s="4">
        <f t="shared" si="32"/>
        <v>0</v>
      </c>
      <c r="AW40" s="2" t="b">
        <f>AV40&lt;=-$AT$128</f>
        <v>0</v>
      </c>
      <c r="AX40" s="1">
        <v>86</v>
      </c>
      <c r="AY40" s="4">
        <f t="shared" si="53"/>
        <v>-3.1612903225806406</v>
      </c>
      <c r="AZ40" s="4">
        <f t="shared" si="33"/>
        <v>-1.7883568804359973</v>
      </c>
      <c r="BA40" s="2" t="b">
        <f>AZ40&lt;=-$AX$128</f>
        <v>0</v>
      </c>
      <c r="BB40" s="1">
        <v>92</v>
      </c>
      <c r="BC40" s="4">
        <f t="shared" si="54"/>
        <v>5.3548387096774235</v>
      </c>
      <c r="BD40" s="4">
        <f t="shared" si="34"/>
        <v>0</v>
      </c>
      <c r="BE40" s="2" t="b">
        <f>BD40&lt;=-$BB$128</f>
        <v>0</v>
      </c>
      <c r="BF40" s="1">
        <v>93</v>
      </c>
      <c r="BG40" s="4">
        <f t="shared" si="55"/>
        <v>1.7419354838709609</v>
      </c>
      <c r="BH40" s="4">
        <f t="shared" si="35"/>
        <v>0</v>
      </c>
      <c r="BI40" s="2" t="b">
        <f>BH40&lt;=-$BF$128</f>
        <v>0</v>
      </c>
      <c r="BJ40" s="1">
        <v>94</v>
      </c>
      <c r="BK40" s="4">
        <f t="shared" si="56"/>
        <v>2.0645161290322562</v>
      </c>
      <c r="BL40" s="4">
        <f t="shared" si="36"/>
        <v>0</v>
      </c>
      <c r="BM40" s="2" t="b">
        <f>BL40&lt;=-$BJ$128</f>
        <v>0</v>
      </c>
      <c r="BN40" s="1">
        <v>92</v>
      </c>
      <c r="BO40" s="4">
        <f t="shared" si="57"/>
        <v>-2.0967741935483843</v>
      </c>
      <c r="BP40" s="4">
        <f t="shared" si="37"/>
        <v>-20.020980866970412</v>
      </c>
      <c r="BQ40" s="2" t="b">
        <f>BP40&lt;=-$BN$128</f>
        <v>0</v>
      </c>
      <c r="BR40" s="1">
        <v>83</v>
      </c>
      <c r="BS40" s="4">
        <f t="shared" si="58"/>
        <v>-1.7096774193548328</v>
      </c>
      <c r="BT40" s="4">
        <f t="shared" si="38"/>
        <v>0</v>
      </c>
      <c r="BU40" s="2" t="b">
        <f>BT40&lt;=-$BR$128</f>
        <v>0</v>
      </c>
      <c r="BV40" s="1">
        <v>90</v>
      </c>
      <c r="BW40" s="2">
        <f t="shared" si="59"/>
        <v>3.3870967741935516</v>
      </c>
      <c r="BX40" s="4">
        <f t="shared" si="39"/>
        <v>0</v>
      </c>
      <c r="BY40" s="2" t="b">
        <f>BX40&lt;=-$BV$128</f>
        <v>0</v>
      </c>
      <c r="BZ40" s="1">
        <v>92</v>
      </c>
      <c r="CA40" s="2">
        <f t="shared" si="60"/>
        <v>1.9354838709677438</v>
      </c>
      <c r="CB40" s="4">
        <f t="shared" si="40"/>
        <v>0</v>
      </c>
      <c r="CC40" s="2" t="b">
        <f t="shared" si="61"/>
        <v>0</v>
      </c>
    </row>
    <row r="41" spans="1:81" x14ac:dyDescent="0.2">
      <c r="A41" s="3">
        <v>45878</v>
      </c>
      <c r="B41" s="1">
        <v>90</v>
      </c>
      <c r="C41" s="2">
        <f t="shared" si="41"/>
        <v>-1.1935483870967687</v>
      </c>
      <c r="D41" s="4">
        <f t="shared" si="21"/>
        <v>-25.882118166600549</v>
      </c>
      <c r="E41" s="2" t="b">
        <f>D41&lt;=-$B$128</f>
        <v>1</v>
      </c>
      <c r="F41" s="1">
        <v>73</v>
      </c>
      <c r="G41" s="4">
        <f t="shared" si="42"/>
        <v>-14.258064516129039</v>
      </c>
      <c r="H41" s="4">
        <f t="shared" si="22"/>
        <v>-28.445915965767369</v>
      </c>
      <c r="I41" s="2" t="b">
        <f>H41&lt;=-$F$128</f>
        <v>1</v>
      </c>
      <c r="J41" s="1">
        <v>82</v>
      </c>
      <c r="K41" s="4">
        <f t="shared" si="43"/>
        <v>-7.7096774193548328</v>
      </c>
      <c r="L41" s="4">
        <f t="shared" si="23"/>
        <v>-29.984929536307803</v>
      </c>
      <c r="M41" s="2" t="b">
        <f>L41&lt;=-$J$128</f>
        <v>1</v>
      </c>
      <c r="N41" s="1">
        <v>91</v>
      </c>
      <c r="O41" s="4">
        <f t="shared" si="44"/>
        <v>3.3548387096774235</v>
      </c>
      <c r="P41" s="4">
        <f t="shared" si="24"/>
        <v>0</v>
      </c>
      <c r="Q41" s="2" t="b">
        <f>P41&lt;=-$N$128</f>
        <v>0</v>
      </c>
      <c r="R41" s="1">
        <v>96</v>
      </c>
      <c r="S41" s="4">
        <f t="shared" si="45"/>
        <v>4.2580645161290391</v>
      </c>
      <c r="T41" s="4">
        <f t="shared" si="25"/>
        <v>-35.788460927438507</v>
      </c>
      <c r="U41" s="2" t="b">
        <f>T41&lt;=-$R$128</f>
        <v>1</v>
      </c>
      <c r="V41" s="1">
        <v>87</v>
      </c>
      <c r="W41" s="4">
        <f t="shared" si="46"/>
        <v>0.25806451612903913</v>
      </c>
      <c r="X41" s="4">
        <f t="shared" si="26"/>
        <v>0</v>
      </c>
      <c r="Y41" s="2" t="b">
        <f>X41&lt;=-$V$128</f>
        <v>0</v>
      </c>
      <c r="Z41" s="1">
        <v>86</v>
      </c>
      <c r="AA41" s="4">
        <f t="shared" si="47"/>
        <v>-3.2580645161290391</v>
      </c>
      <c r="AB41" s="4">
        <f t="shared" si="27"/>
        <v>-2.162138551300707</v>
      </c>
      <c r="AC41" s="2" t="b">
        <f>AB41&lt;=-$Z$128</f>
        <v>0</v>
      </c>
      <c r="AD41" s="1">
        <v>86</v>
      </c>
      <c r="AE41" s="4">
        <f t="shared" si="48"/>
        <v>0.41935483870967971</v>
      </c>
      <c r="AF41" s="4">
        <f t="shared" si="28"/>
        <v>-1.0117882651926193</v>
      </c>
      <c r="AG41" s="2" t="b">
        <f>AF41&lt;=-$AD$128</f>
        <v>0</v>
      </c>
      <c r="AH41" s="1">
        <v>84</v>
      </c>
      <c r="AI41" s="4">
        <f t="shared" si="49"/>
        <v>-3.8387096774193594</v>
      </c>
      <c r="AJ41" s="4">
        <f t="shared" si="29"/>
        <v>-14.155983456357443</v>
      </c>
      <c r="AK41" s="2" t="b">
        <f>AJ41&lt;=-$AH$128</f>
        <v>0</v>
      </c>
      <c r="AL41" s="1">
        <v>85</v>
      </c>
      <c r="AM41" s="4">
        <f t="shared" si="50"/>
        <v>-1.9354838709677438</v>
      </c>
      <c r="AN41" s="4">
        <f t="shared" si="30"/>
        <v>-7.2003693714650279</v>
      </c>
      <c r="AO41" s="2" t="b">
        <f>AN41&lt;=-$AL$128</f>
        <v>0</v>
      </c>
      <c r="AP41" s="1">
        <v>95</v>
      </c>
      <c r="AQ41" s="4">
        <f t="shared" si="51"/>
        <v>4.8064516129032313</v>
      </c>
      <c r="AR41" s="4">
        <f t="shared" si="31"/>
        <v>0</v>
      </c>
      <c r="AS41" s="2" t="b">
        <f>AR41&lt;=-$AP$128</f>
        <v>0</v>
      </c>
      <c r="AT41" s="1">
        <v>103</v>
      </c>
      <c r="AU41" s="4">
        <f t="shared" si="52"/>
        <v>16.58064516129032</v>
      </c>
      <c r="AV41" s="4">
        <f t="shared" si="32"/>
        <v>0</v>
      </c>
      <c r="AW41" s="2" t="b">
        <f>AV41&lt;=-$AT$128</f>
        <v>0</v>
      </c>
      <c r="AX41" s="1">
        <v>85</v>
      </c>
      <c r="AY41" s="4">
        <f t="shared" si="53"/>
        <v>-4.1612903225806406</v>
      </c>
      <c r="AZ41" s="4">
        <f t="shared" si="33"/>
        <v>-4.5767137608719946</v>
      </c>
      <c r="BA41" s="2" t="b">
        <f>AZ41&lt;=-$AX$128</f>
        <v>0</v>
      </c>
      <c r="BB41" s="1">
        <v>93</v>
      </c>
      <c r="BC41" s="4">
        <f t="shared" si="54"/>
        <v>6.3548387096774235</v>
      </c>
      <c r="BD41" s="4">
        <f t="shared" si="34"/>
        <v>0</v>
      </c>
      <c r="BE41" s="2" t="b">
        <f>BD41&lt;=-$BB$128</f>
        <v>0</v>
      </c>
      <c r="BF41" s="1">
        <v>94</v>
      </c>
      <c r="BG41" s="4">
        <f t="shared" si="55"/>
        <v>2.7419354838709609</v>
      </c>
      <c r="BH41" s="4">
        <f t="shared" si="35"/>
        <v>0</v>
      </c>
      <c r="BI41" s="2" t="b">
        <f>BH41&lt;=-$BF$128</f>
        <v>0</v>
      </c>
      <c r="BJ41" s="1">
        <v>91</v>
      </c>
      <c r="BK41" s="4">
        <f t="shared" si="56"/>
        <v>-0.93548387096774377</v>
      </c>
      <c r="BL41" s="4">
        <f t="shared" si="36"/>
        <v>0</v>
      </c>
      <c r="BM41" s="2" t="b">
        <f>BL41&lt;=-$BJ$128</f>
        <v>0</v>
      </c>
      <c r="BN41" s="1">
        <v>88</v>
      </c>
      <c r="BO41" s="4">
        <f t="shared" si="57"/>
        <v>-6.0967741935483843</v>
      </c>
      <c r="BP41" s="4">
        <f t="shared" si="37"/>
        <v>-23.825177040364494</v>
      </c>
      <c r="BQ41" s="8" t="b">
        <f>BP41&lt;=-$BN$128</f>
        <v>1</v>
      </c>
      <c r="BR41" s="1">
        <v>89</v>
      </c>
      <c r="BS41" s="4">
        <f t="shared" si="58"/>
        <v>4.2903225806451672</v>
      </c>
      <c r="BT41" s="4">
        <f t="shared" si="38"/>
        <v>0</v>
      </c>
      <c r="BU41" s="2" t="b">
        <f>BT41&lt;=-$BR$128</f>
        <v>0</v>
      </c>
      <c r="BV41" s="1">
        <v>89</v>
      </c>
      <c r="BW41" s="2">
        <f t="shared" si="59"/>
        <v>2.3870967741935516</v>
      </c>
      <c r="BX41" s="4">
        <f t="shared" si="39"/>
        <v>0</v>
      </c>
      <c r="BY41" s="2" t="b">
        <f>BX41&lt;=-$BV$128</f>
        <v>0</v>
      </c>
      <c r="BZ41" s="1">
        <v>93</v>
      </c>
      <c r="CA41" s="2">
        <f t="shared" si="60"/>
        <v>2.9354838709677438</v>
      </c>
      <c r="CB41" s="4">
        <f t="shared" si="40"/>
        <v>0</v>
      </c>
      <c r="CC41" s="2" t="b">
        <f t="shared" si="61"/>
        <v>0</v>
      </c>
    </row>
    <row r="42" spans="1:81" x14ac:dyDescent="0.2">
      <c r="A42" s="3">
        <v>45879</v>
      </c>
      <c r="B42" s="1">
        <v>89</v>
      </c>
      <c r="C42" s="2">
        <f t="shared" si="41"/>
        <v>-2.1935483870967687</v>
      </c>
      <c r="D42" s="4">
        <f t="shared" si="21"/>
        <v>-25.624750552013083</v>
      </c>
      <c r="E42" s="2" t="b">
        <f>D42&lt;=-$B$128</f>
        <v>1</v>
      </c>
      <c r="F42" s="1">
        <v>80</v>
      </c>
      <c r="G42" s="4">
        <f t="shared" si="42"/>
        <v>-7.2580645161290391</v>
      </c>
      <c r="H42" s="4">
        <f t="shared" si="22"/>
        <v>-33.490507562344106</v>
      </c>
      <c r="I42" s="2" t="b">
        <f>H42&lt;=-$F$128</f>
        <v>1</v>
      </c>
      <c r="J42" s="1">
        <v>87</v>
      </c>
      <c r="K42" s="4">
        <f t="shared" si="43"/>
        <v>-2.7096774193548328</v>
      </c>
      <c r="L42" s="4">
        <f t="shared" si="23"/>
        <v>-31.17148763232704</v>
      </c>
      <c r="M42" s="2" t="b">
        <f>L42&lt;=-$J$128</f>
        <v>1</v>
      </c>
      <c r="N42" s="1">
        <v>90</v>
      </c>
      <c r="O42" s="4">
        <f t="shared" si="44"/>
        <v>2.3548387096774235</v>
      </c>
      <c r="P42" s="4">
        <f t="shared" si="24"/>
        <v>0</v>
      </c>
      <c r="Q42" s="2" t="b">
        <f>P42&lt;=-$N$128</f>
        <v>0</v>
      </c>
      <c r="R42" s="1">
        <v>95</v>
      </c>
      <c r="S42" s="4">
        <f t="shared" si="45"/>
        <v>3.2580645161290391</v>
      </c>
      <c r="T42" s="4">
        <f t="shared" si="25"/>
        <v>-29.776708756740646</v>
      </c>
      <c r="U42" s="2" t="b">
        <f>T42&lt;=-$R$128</f>
        <v>1</v>
      </c>
      <c r="V42" s="1">
        <v>88</v>
      </c>
      <c r="W42" s="4">
        <f t="shared" si="46"/>
        <v>1.2580645161290391</v>
      </c>
      <c r="X42" s="4">
        <f t="shared" si="26"/>
        <v>0</v>
      </c>
      <c r="Y42" s="2" t="b">
        <f>X42&lt;=-$V$128</f>
        <v>0</v>
      </c>
      <c r="Z42" s="1">
        <v>88</v>
      </c>
      <c r="AA42" s="4">
        <f t="shared" si="47"/>
        <v>-1.2580645161290391</v>
      </c>
      <c r="AB42" s="4">
        <f t="shared" si="27"/>
        <v>-1.5495180684009424</v>
      </c>
      <c r="AC42" s="2" t="b">
        <f>AB42&lt;=-$Z$128</f>
        <v>0</v>
      </c>
      <c r="AD42" s="1">
        <v>87</v>
      </c>
      <c r="AE42" s="4">
        <f t="shared" si="48"/>
        <v>1.4193548387096797</v>
      </c>
      <c r="AF42" s="4">
        <f t="shared" si="28"/>
        <v>0</v>
      </c>
      <c r="AG42" s="2" t="b">
        <f>AF42&lt;=-$AD$128</f>
        <v>0</v>
      </c>
      <c r="AH42" s="1">
        <v>75</v>
      </c>
      <c r="AI42" s="4">
        <f t="shared" si="49"/>
        <v>-12.838709677419359</v>
      </c>
      <c r="AJ42" s="4">
        <f t="shared" si="29"/>
        <v>-25.444979320446805</v>
      </c>
      <c r="AK42" s="8" t="b">
        <f>AJ42&lt;=-$AH$128</f>
        <v>1</v>
      </c>
      <c r="AL42" s="1">
        <v>83</v>
      </c>
      <c r="AM42" s="4">
        <f t="shared" si="50"/>
        <v>-3.9354838709677438</v>
      </c>
      <c r="AN42" s="4">
        <f t="shared" si="30"/>
        <v>-8.9338258286200372</v>
      </c>
      <c r="AO42" s="2" t="b">
        <f>AN42&lt;=-$AL$128</f>
        <v>0</v>
      </c>
      <c r="AP42" s="1">
        <v>96</v>
      </c>
      <c r="AQ42" s="4">
        <f t="shared" si="51"/>
        <v>5.8064516129032313</v>
      </c>
      <c r="AR42" s="4">
        <f t="shared" si="31"/>
        <v>0</v>
      </c>
      <c r="AS42" s="2" t="b">
        <f>AR42&lt;=-$AP$128</f>
        <v>0</v>
      </c>
      <c r="AT42" s="1">
        <v>103</v>
      </c>
      <c r="AU42" s="4">
        <f t="shared" si="52"/>
        <v>16.58064516129032</v>
      </c>
      <c r="AV42" s="4">
        <f t="shared" si="32"/>
        <v>0</v>
      </c>
      <c r="AW42" s="2" t="b">
        <f>AV42&lt;=-$AT$128</f>
        <v>0</v>
      </c>
      <c r="AX42" s="1">
        <v>85</v>
      </c>
      <c r="AY42" s="4">
        <f t="shared" si="53"/>
        <v>-4.1612903225806406</v>
      </c>
      <c r="AZ42" s="4">
        <f t="shared" si="33"/>
        <v>-7.3650706413079918</v>
      </c>
      <c r="BA42" s="2" t="b">
        <f>AZ42&lt;=-$AX$128</f>
        <v>0</v>
      </c>
      <c r="BB42" s="1">
        <v>93</v>
      </c>
      <c r="BC42" s="4">
        <f t="shared" si="54"/>
        <v>6.3548387096774235</v>
      </c>
      <c r="BD42" s="4">
        <f t="shared" si="34"/>
        <v>0</v>
      </c>
      <c r="BE42" s="2" t="b">
        <f>BD42&lt;=-$BB$128</f>
        <v>0</v>
      </c>
      <c r="BF42" s="1">
        <v>94</v>
      </c>
      <c r="BG42" s="4">
        <f t="shared" si="55"/>
        <v>2.7419354838709609</v>
      </c>
      <c r="BH42" s="4">
        <f t="shared" si="35"/>
        <v>0</v>
      </c>
      <c r="BI42" s="2" t="b">
        <f>BH42&lt;=-$BF$128</f>
        <v>0</v>
      </c>
      <c r="BJ42" s="1">
        <v>95</v>
      </c>
      <c r="BK42" s="4">
        <f t="shared" si="56"/>
        <v>3.0645161290322562</v>
      </c>
      <c r="BL42" s="4">
        <f t="shared" si="36"/>
        <v>0</v>
      </c>
      <c r="BM42" s="2" t="b">
        <f>BL42&lt;=-$BJ$128</f>
        <v>0</v>
      </c>
      <c r="BN42" s="1">
        <v>87</v>
      </c>
      <c r="BO42" s="4">
        <f t="shared" si="57"/>
        <v>-7.0967741935483843</v>
      </c>
      <c r="BP42" s="4">
        <f t="shared" si="37"/>
        <v>-28.629373213758576</v>
      </c>
      <c r="BQ42" s="2" t="b">
        <f>BP42&lt;=-$BN$128</f>
        <v>1</v>
      </c>
      <c r="BR42" s="1">
        <v>90</v>
      </c>
      <c r="BS42" s="4">
        <f t="shared" si="58"/>
        <v>5.2903225806451672</v>
      </c>
      <c r="BT42" s="4">
        <f t="shared" si="38"/>
        <v>0</v>
      </c>
      <c r="BU42" s="2" t="b">
        <f>BT42&lt;=-$BR$128</f>
        <v>0</v>
      </c>
      <c r="BV42" s="1">
        <v>86</v>
      </c>
      <c r="BW42" s="2">
        <f t="shared" si="59"/>
        <v>-0.6129032258064484</v>
      </c>
      <c r="BX42" s="4">
        <f t="shared" si="39"/>
        <v>0</v>
      </c>
      <c r="BY42" s="2" t="b">
        <f>BX42&lt;=-$BV$128</f>
        <v>0</v>
      </c>
      <c r="BZ42" s="1">
        <v>94</v>
      </c>
      <c r="CA42" s="2">
        <f t="shared" si="60"/>
        <v>3.9354838709677438</v>
      </c>
      <c r="CB42" s="4">
        <f t="shared" si="40"/>
        <v>0</v>
      </c>
      <c r="CC42" s="2" t="b">
        <f t="shared" si="61"/>
        <v>0</v>
      </c>
    </row>
    <row r="43" spans="1:81" x14ac:dyDescent="0.2">
      <c r="A43" s="3">
        <v>45880</v>
      </c>
      <c r="B43" s="1">
        <v>88</v>
      </c>
      <c r="C43" s="2">
        <f t="shared" si="41"/>
        <v>-3.1935483870967687</v>
      </c>
      <c r="D43" s="4">
        <f t="shared" si="21"/>
        <v>-26.367382937425617</v>
      </c>
      <c r="E43" s="2" t="b">
        <f>D43&lt;=-$B$128</f>
        <v>1</v>
      </c>
      <c r="F43" s="1">
        <v>86</v>
      </c>
      <c r="G43" s="4">
        <f t="shared" si="42"/>
        <v>-1.2580645161290391</v>
      </c>
      <c r="H43" s="4">
        <f t="shared" si="22"/>
        <v>-32.535099158920843</v>
      </c>
      <c r="I43" s="2" t="b">
        <f>H43&lt;=-$F$128</f>
        <v>1</v>
      </c>
      <c r="J43" s="1">
        <v>88</v>
      </c>
      <c r="K43" s="4">
        <f t="shared" si="43"/>
        <v>-1.7096774193548328</v>
      </c>
      <c r="L43" s="4">
        <f t="shared" si="23"/>
        <v>-31.35804572834628</v>
      </c>
      <c r="M43" s="2" t="b">
        <f>L43&lt;=-$J$128</f>
        <v>1</v>
      </c>
      <c r="N43" s="1">
        <v>96</v>
      </c>
      <c r="O43" s="4">
        <f t="shared" si="44"/>
        <v>8.3548387096774235</v>
      </c>
      <c r="P43" s="4">
        <f t="shared" si="24"/>
        <v>0</v>
      </c>
      <c r="Q43" s="2" t="b">
        <f>P43&lt;=-$N$128</f>
        <v>0</v>
      </c>
      <c r="R43" s="1">
        <v>89</v>
      </c>
      <c r="S43" s="4">
        <f t="shared" si="45"/>
        <v>-2.7419354838709609</v>
      </c>
      <c r="T43" s="4">
        <f t="shared" si="25"/>
        <v>-29.764956586042786</v>
      </c>
      <c r="U43" s="2" t="b">
        <f>T43&lt;=-$R$128</f>
        <v>1</v>
      </c>
      <c r="V43" s="1">
        <v>86</v>
      </c>
      <c r="W43" s="4">
        <f t="shared" si="46"/>
        <v>-0.74193548387096087</v>
      </c>
      <c r="X43" s="4">
        <f t="shared" si="26"/>
        <v>0</v>
      </c>
      <c r="Y43" s="2" t="b">
        <f>X43&lt;=-$V$128</f>
        <v>0</v>
      </c>
      <c r="Z43" s="1">
        <v>89</v>
      </c>
      <c r="AA43" s="4">
        <f t="shared" si="47"/>
        <v>-0.25806451612903913</v>
      </c>
      <c r="AB43" s="4">
        <f t="shared" si="27"/>
        <v>0</v>
      </c>
      <c r="AC43" s="2" t="b">
        <f>AB43&lt;=-$Z$128</f>
        <v>0</v>
      </c>
      <c r="AD43" s="1">
        <v>84</v>
      </c>
      <c r="AE43" s="4">
        <f t="shared" si="48"/>
        <v>-1.5806451612903203</v>
      </c>
      <c r="AF43" s="4">
        <f t="shared" si="28"/>
        <v>0</v>
      </c>
      <c r="AG43" s="2" t="b">
        <f>AF43&lt;=-$AD$128</f>
        <v>0</v>
      </c>
      <c r="AH43" s="1">
        <v>82</v>
      </c>
      <c r="AI43" s="4">
        <f t="shared" si="49"/>
        <v>-5.8387096774193594</v>
      </c>
      <c r="AJ43" s="4">
        <f t="shared" si="29"/>
        <v>-29.733975184536167</v>
      </c>
      <c r="AK43" s="2" t="b">
        <f>AJ43&lt;=-$AH$128</f>
        <v>1</v>
      </c>
      <c r="AL43" s="1">
        <v>87</v>
      </c>
      <c r="AM43" s="4">
        <f t="shared" si="50"/>
        <v>6.4516129032256231E-2</v>
      </c>
      <c r="AN43" s="4">
        <f t="shared" si="30"/>
        <v>-6.6672822857750464</v>
      </c>
      <c r="AO43" s="2" t="b">
        <f>AN43&lt;=-$AL$128</f>
        <v>0</v>
      </c>
      <c r="AP43" s="1">
        <v>88</v>
      </c>
      <c r="AQ43" s="4">
        <f t="shared" si="51"/>
        <v>-2.1935483870967687</v>
      </c>
      <c r="AR43" s="4">
        <f t="shared" si="31"/>
        <v>-7.451026081277945E-2</v>
      </c>
      <c r="AS43" s="2" t="b">
        <f>AR43&lt;=-$AP$128</f>
        <v>0</v>
      </c>
      <c r="AT43" s="1">
        <v>100</v>
      </c>
      <c r="AU43" s="4">
        <f t="shared" si="52"/>
        <v>13.58064516129032</v>
      </c>
      <c r="AV43" s="4">
        <f t="shared" si="32"/>
        <v>0</v>
      </c>
      <c r="AW43" s="2" t="b">
        <f>AV43&lt;=-$AT$128</f>
        <v>0</v>
      </c>
      <c r="AX43" s="1">
        <v>88</v>
      </c>
      <c r="AY43" s="4">
        <f t="shared" si="53"/>
        <v>-1.1612903225806406</v>
      </c>
      <c r="AZ43" s="4">
        <f t="shared" si="33"/>
        <v>-7.1534275217439882</v>
      </c>
      <c r="BA43" s="2" t="b">
        <f>AZ43&lt;=-$AX$128</f>
        <v>0</v>
      </c>
      <c r="BB43" s="1">
        <v>95</v>
      </c>
      <c r="BC43" s="4">
        <f t="shared" si="54"/>
        <v>8.3548387096774235</v>
      </c>
      <c r="BD43" s="4">
        <f t="shared" si="34"/>
        <v>0</v>
      </c>
      <c r="BE43" s="2" t="b">
        <f>BD43&lt;=-$BB$128</f>
        <v>0</v>
      </c>
      <c r="BF43" s="1">
        <v>95</v>
      </c>
      <c r="BG43" s="4">
        <f t="shared" si="55"/>
        <v>3.7419354838709609</v>
      </c>
      <c r="BH43" s="4">
        <f t="shared" si="35"/>
        <v>0</v>
      </c>
      <c r="BI43" s="2" t="b">
        <f>BH43&lt;=-$BF$128</f>
        <v>0</v>
      </c>
      <c r="BJ43" s="1">
        <v>94</v>
      </c>
      <c r="BK43" s="4">
        <f t="shared" si="56"/>
        <v>2.0645161290322562</v>
      </c>
      <c r="BL43" s="4">
        <f t="shared" si="36"/>
        <v>0</v>
      </c>
      <c r="BM43" s="2" t="b">
        <f>BL43&lt;=-$BJ$128</f>
        <v>0</v>
      </c>
      <c r="BN43" s="1">
        <v>85</v>
      </c>
      <c r="BO43" s="4">
        <f t="shared" si="57"/>
        <v>-9.0967741935483843</v>
      </c>
      <c r="BP43" s="4">
        <f t="shared" si="37"/>
        <v>-35.433569387152659</v>
      </c>
      <c r="BQ43" s="2" t="b">
        <f>BP43&lt;=-$BN$128</f>
        <v>1</v>
      </c>
      <c r="BR43" s="1">
        <v>90</v>
      </c>
      <c r="BS43" s="4">
        <f t="shared" si="58"/>
        <v>5.2903225806451672</v>
      </c>
      <c r="BT43" s="4">
        <f t="shared" si="38"/>
        <v>0</v>
      </c>
      <c r="BU43" s="2" t="b">
        <f>BT43&lt;=-$BR$128</f>
        <v>0</v>
      </c>
      <c r="BV43" s="1">
        <v>83</v>
      </c>
      <c r="BW43" s="2">
        <f t="shared" si="59"/>
        <v>-3.6129032258064484</v>
      </c>
      <c r="BX43" s="4">
        <f t="shared" si="39"/>
        <v>-1.8208958813514526</v>
      </c>
      <c r="BY43" s="2" t="b">
        <f>BX43&lt;=-$BV$128</f>
        <v>0</v>
      </c>
      <c r="BZ43" s="1">
        <v>91</v>
      </c>
      <c r="CA43" s="2">
        <f t="shared" si="60"/>
        <v>0.93548387096774377</v>
      </c>
      <c r="CB43" s="4">
        <f t="shared" si="40"/>
        <v>0</v>
      </c>
      <c r="CC43" s="2" t="b">
        <f t="shared" si="61"/>
        <v>0</v>
      </c>
    </row>
    <row r="44" spans="1:81" x14ac:dyDescent="0.2">
      <c r="A44" s="3">
        <v>45881</v>
      </c>
      <c r="B44" s="1">
        <v>86</v>
      </c>
      <c r="C44" s="2">
        <f t="shared" si="41"/>
        <v>-5.1935483870967687</v>
      </c>
      <c r="D44" s="4">
        <f t="shared" si="21"/>
        <v>-29.110015322838152</v>
      </c>
      <c r="E44" s="2" t="b">
        <f>D44&lt;=-$B$128</f>
        <v>1</v>
      </c>
      <c r="F44" s="1">
        <v>88</v>
      </c>
      <c r="G44" s="4">
        <f t="shared" si="42"/>
        <v>0.74193548387096087</v>
      </c>
      <c r="H44" s="4">
        <f t="shared" si="22"/>
        <v>-29.57969075549758</v>
      </c>
      <c r="I44" s="2" t="b">
        <f>H44&lt;=-$F$128</f>
        <v>1</v>
      </c>
      <c r="J44" s="1">
        <v>84</v>
      </c>
      <c r="K44" s="4">
        <f t="shared" si="43"/>
        <v>-5.7096774193548328</v>
      </c>
      <c r="L44" s="4">
        <f t="shared" si="23"/>
        <v>-35.544603824365524</v>
      </c>
      <c r="M44" s="2" t="b">
        <f>L44&lt;=-$J$128</f>
        <v>1</v>
      </c>
      <c r="N44" s="1">
        <v>98</v>
      </c>
      <c r="O44" s="4">
        <f t="shared" si="44"/>
        <v>10.354838709677423</v>
      </c>
      <c r="P44" s="4">
        <f t="shared" si="24"/>
        <v>0</v>
      </c>
      <c r="Q44" s="2" t="b">
        <f>P44&lt;=-$N$128</f>
        <v>0</v>
      </c>
      <c r="R44" s="1">
        <v>89</v>
      </c>
      <c r="S44" s="4">
        <f t="shared" si="45"/>
        <v>-2.7419354838709609</v>
      </c>
      <c r="T44" s="4">
        <f t="shared" si="25"/>
        <v>-29.753204415344925</v>
      </c>
      <c r="U44" s="2" t="b">
        <f>T44&lt;=-$R$128</f>
        <v>1</v>
      </c>
      <c r="V44" s="1">
        <v>86</v>
      </c>
      <c r="W44" s="4">
        <f t="shared" si="46"/>
        <v>-0.74193548387096087</v>
      </c>
      <c r="X44" s="4">
        <f t="shared" si="26"/>
        <v>0</v>
      </c>
      <c r="Y44" s="2" t="b">
        <f>X44&lt;=-$V$128</f>
        <v>0</v>
      </c>
      <c r="Z44" s="1">
        <v>91</v>
      </c>
      <c r="AA44" s="4">
        <f t="shared" si="47"/>
        <v>1.7419354838709609</v>
      </c>
      <c r="AB44" s="4">
        <f t="shared" si="27"/>
        <v>0</v>
      </c>
      <c r="AC44" s="2" t="b">
        <f>AB44&lt;=-$Z$128</f>
        <v>0</v>
      </c>
      <c r="AD44" s="1">
        <v>81</v>
      </c>
      <c r="AE44" s="4">
        <f t="shared" si="48"/>
        <v>-4.5806451612903203</v>
      </c>
      <c r="AF44" s="4">
        <f t="shared" si="28"/>
        <v>-2.8352980441987699</v>
      </c>
      <c r="AG44" s="2" t="b">
        <f>AF44&lt;=-$AD$128</f>
        <v>0</v>
      </c>
      <c r="AH44" s="1">
        <v>80</v>
      </c>
      <c r="AI44" s="4">
        <f t="shared" si="49"/>
        <v>-7.8387096774193594</v>
      </c>
      <c r="AJ44" s="4">
        <f t="shared" si="29"/>
        <v>-36.022971048625521</v>
      </c>
      <c r="AK44" s="2" t="b">
        <f>AJ44&lt;=-$AH$128</f>
        <v>1</v>
      </c>
      <c r="AL44" s="1">
        <v>88</v>
      </c>
      <c r="AM44" s="4">
        <f t="shared" si="50"/>
        <v>1.0645161290322562</v>
      </c>
      <c r="AN44" s="4">
        <f t="shared" si="30"/>
        <v>-3.4007387429300557</v>
      </c>
      <c r="AO44" s="2" t="b">
        <f>AN44&lt;=-$AL$128</f>
        <v>0</v>
      </c>
      <c r="AP44" s="1">
        <v>84</v>
      </c>
      <c r="AQ44" s="4">
        <f t="shared" si="51"/>
        <v>-6.1935483870967687</v>
      </c>
      <c r="AR44" s="4">
        <f t="shared" si="31"/>
        <v>-4.1490205216255589</v>
      </c>
      <c r="AS44" s="2" t="b">
        <f>AR44&lt;=-$AP$128</f>
        <v>0</v>
      </c>
      <c r="AT44" s="1">
        <v>90</v>
      </c>
      <c r="AU44" s="4">
        <f t="shared" si="52"/>
        <v>3.5806451612903203</v>
      </c>
      <c r="AV44" s="4">
        <f t="shared" si="32"/>
        <v>0</v>
      </c>
      <c r="AW44" s="2" t="b">
        <f>AV44&lt;=-$AT$128</f>
        <v>0</v>
      </c>
      <c r="AX44" s="1">
        <v>81</v>
      </c>
      <c r="AY44" s="4">
        <f t="shared" si="53"/>
        <v>-8.1612903225806406</v>
      </c>
      <c r="AZ44" s="4">
        <f t="shared" si="33"/>
        <v>-13.941784402179987</v>
      </c>
      <c r="BA44" s="8" t="b">
        <f>AZ44&lt;=-$AX$128</f>
        <v>1</v>
      </c>
      <c r="BB44" s="1">
        <v>86</v>
      </c>
      <c r="BC44" s="4">
        <f t="shared" si="54"/>
        <v>-0.64516129032257652</v>
      </c>
      <c r="BD44" s="4">
        <f t="shared" si="34"/>
        <v>0</v>
      </c>
      <c r="BE44" s="2" t="b">
        <f>BD44&lt;=-$BB$128</f>
        <v>0</v>
      </c>
      <c r="BF44" s="1">
        <v>95</v>
      </c>
      <c r="BG44" s="4">
        <f t="shared" si="55"/>
        <v>3.7419354838709609</v>
      </c>
      <c r="BH44" s="4">
        <f t="shared" si="35"/>
        <v>0</v>
      </c>
      <c r="BI44" s="2" t="b">
        <f>BH44&lt;=-$BF$128</f>
        <v>0</v>
      </c>
      <c r="BJ44" s="1">
        <v>95</v>
      </c>
      <c r="BK44" s="4">
        <f t="shared" si="56"/>
        <v>3.0645161290322562</v>
      </c>
      <c r="BL44" s="4">
        <f t="shared" si="36"/>
        <v>0</v>
      </c>
      <c r="BM44" s="2" t="b">
        <f>BL44&lt;=-$BJ$128</f>
        <v>0</v>
      </c>
      <c r="BN44" s="1">
        <v>88</v>
      </c>
      <c r="BO44" s="4">
        <f t="shared" si="57"/>
        <v>-6.0967741935483843</v>
      </c>
      <c r="BP44" s="4">
        <f t="shared" si="37"/>
        <v>-39.237765560546741</v>
      </c>
      <c r="BQ44" s="2" t="b">
        <f>BP44&lt;=-$BN$128</f>
        <v>1</v>
      </c>
      <c r="BR44" s="1">
        <v>90</v>
      </c>
      <c r="BS44" s="4">
        <f t="shared" si="58"/>
        <v>5.2903225806451672</v>
      </c>
      <c r="BT44" s="4">
        <f t="shared" si="38"/>
        <v>0</v>
      </c>
      <c r="BU44" s="2" t="b">
        <f>BT44&lt;=-$BR$128</f>
        <v>0</v>
      </c>
      <c r="BV44" s="1">
        <v>88</v>
      </c>
      <c r="BW44" s="2">
        <f t="shared" si="59"/>
        <v>1.3870967741935516</v>
      </c>
      <c r="BX44" s="4">
        <f t="shared" si="39"/>
        <v>0</v>
      </c>
      <c r="BY44" s="2" t="b">
        <f>BX44&lt;=-$BV$128</f>
        <v>0</v>
      </c>
      <c r="BZ44" s="1">
        <v>90</v>
      </c>
      <c r="CA44" s="2">
        <f t="shared" si="60"/>
        <v>-6.4516129032256231E-2</v>
      </c>
      <c r="CB44" s="4">
        <f t="shared" si="40"/>
        <v>0</v>
      </c>
      <c r="CC44" s="2" t="b">
        <f t="shared" si="61"/>
        <v>0</v>
      </c>
    </row>
    <row r="45" spans="1:81" x14ac:dyDescent="0.2">
      <c r="A45" s="3">
        <v>45882</v>
      </c>
      <c r="B45" s="1">
        <v>84</v>
      </c>
      <c r="C45" s="2">
        <f t="shared" si="41"/>
        <v>-7.1935483870967687</v>
      </c>
      <c r="D45" s="4">
        <f t="shared" si="21"/>
        <v>-33.852647708250686</v>
      </c>
      <c r="E45" s="2" t="b">
        <f>D45&lt;=-$B$128</f>
        <v>1</v>
      </c>
      <c r="F45" s="1">
        <v>88</v>
      </c>
      <c r="G45" s="4">
        <f t="shared" si="42"/>
        <v>0.74193548387096087</v>
      </c>
      <c r="H45" s="4">
        <f t="shared" si="22"/>
        <v>-26.624282352074317</v>
      </c>
      <c r="I45" s="2" t="b">
        <f>H45&lt;=-$F$128</f>
        <v>1</v>
      </c>
      <c r="J45" s="1">
        <v>86</v>
      </c>
      <c r="K45" s="4">
        <f t="shared" si="43"/>
        <v>-3.7096774193548328</v>
      </c>
      <c r="L45" s="4">
        <f t="shared" si="23"/>
        <v>-37.731161920384764</v>
      </c>
      <c r="M45" s="2" t="b">
        <f>L45&lt;=-$J$128</f>
        <v>1</v>
      </c>
      <c r="N45" s="1">
        <v>97</v>
      </c>
      <c r="O45" s="4">
        <f t="shared" si="44"/>
        <v>9.3548387096774235</v>
      </c>
      <c r="P45" s="4">
        <f t="shared" si="24"/>
        <v>0</v>
      </c>
      <c r="Q45" s="2" t="b">
        <f>P45&lt;=-$N$128</f>
        <v>0</v>
      </c>
      <c r="R45" s="1">
        <v>89</v>
      </c>
      <c r="S45" s="4">
        <f t="shared" si="45"/>
        <v>-2.7419354838709609</v>
      </c>
      <c r="T45" s="4">
        <f t="shared" si="25"/>
        <v>-29.741452244647064</v>
      </c>
      <c r="U45" s="2" t="b">
        <f>T45&lt;=-$R$128</f>
        <v>1</v>
      </c>
      <c r="V45" s="1">
        <v>81</v>
      </c>
      <c r="W45" s="4">
        <f t="shared" si="46"/>
        <v>-5.7419354838709609</v>
      </c>
      <c r="X45" s="4">
        <f t="shared" si="26"/>
        <v>-4.4383011925179758</v>
      </c>
      <c r="Y45" s="2" t="b">
        <f>X45&lt;=-$V$128</f>
        <v>0</v>
      </c>
      <c r="Z45" s="1">
        <v>91</v>
      </c>
      <c r="AA45" s="4">
        <f t="shared" si="47"/>
        <v>1.7419354838709609</v>
      </c>
      <c r="AB45" s="4">
        <f t="shared" si="27"/>
        <v>0</v>
      </c>
      <c r="AC45" s="2" t="b">
        <f>AB45&lt;=-$Z$128</f>
        <v>0</v>
      </c>
      <c r="AD45" s="1">
        <v>87</v>
      </c>
      <c r="AE45" s="4">
        <f t="shared" si="48"/>
        <v>1.4193548387096797</v>
      </c>
      <c r="AF45" s="4">
        <f t="shared" si="28"/>
        <v>0</v>
      </c>
      <c r="AG45" s="2" t="b">
        <f>AF45&lt;=-$AD$128</f>
        <v>0</v>
      </c>
      <c r="AH45" s="1">
        <v>77</v>
      </c>
      <c r="AI45" s="4">
        <f t="shared" si="49"/>
        <v>-10.838709677419359</v>
      </c>
      <c r="AJ45" s="4">
        <f t="shared" si="29"/>
        <v>-45.31196691271488</v>
      </c>
      <c r="AK45" s="2" t="b">
        <f>AJ45&lt;=-$AH$128</f>
        <v>1</v>
      </c>
      <c r="AL45" s="1">
        <v>86</v>
      </c>
      <c r="AM45" s="4">
        <f t="shared" si="50"/>
        <v>-0.93548387096774377</v>
      </c>
      <c r="AN45" s="4">
        <f t="shared" si="30"/>
        <v>-2.134195200085065</v>
      </c>
      <c r="AO45" s="2" t="b">
        <f>AN45&lt;=-$AL$128</f>
        <v>0</v>
      </c>
      <c r="AP45" s="1">
        <v>81</v>
      </c>
      <c r="AQ45" s="4">
        <f t="shared" si="51"/>
        <v>-9.1935483870967687</v>
      </c>
      <c r="AR45" s="4">
        <f t="shared" si="31"/>
        <v>-11.223530782438338</v>
      </c>
      <c r="AS45" s="2" t="b">
        <f>AR45&lt;=-$AP$128</f>
        <v>0</v>
      </c>
      <c r="AT45" s="1">
        <v>100</v>
      </c>
      <c r="AU45" s="4">
        <f t="shared" si="52"/>
        <v>13.58064516129032</v>
      </c>
      <c r="AV45" s="4">
        <f t="shared" si="32"/>
        <v>0</v>
      </c>
      <c r="AW45" s="2" t="b">
        <f>AV45&lt;=-$AT$128</f>
        <v>0</v>
      </c>
      <c r="AX45" s="1">
        <v>81</v>
      </c>
      <c r="AY45" s="4">
        <f t="shared" si="53"/>
        <v>-8.1612903225806406</v>
      </c>
      <c r="AZ45" s="4">
        <f t="shared" si="33"/>
        <v>-20.730141282615985</v>
      </c>
      <c r="BA45" s="2" t="b">
        <f>AZ45&lt;=-$AX$128</f>
        <v>1</v>
      </c>
      <c r="BB45" s="1">
        <v>90</v>
      </c>
      <c r="BC45" s="4">
        <f t="shared" si="54"/>
        <v>3.3548387096774235</v>
      </c>
      <c r="BD45" s="4">
        <f t="shared" si="34"/>
        <v>0</v>
      </c>
      <c r="BE45" s="2" t="b">
        <f>BD45&lt;=-$BB$128</f>
        <v>0</v>
      </c>
      <c r="BF45" s="1">
        <v>96</v>
      </c>
      <c r="BG45" s="4">
        <f t="shared" si="55"/>
        <v>4.7419354838709609</v>
      </c>
      <c r="BH45" s="4">
        <f t="shared" si="35"/>
        <v>0</v>
      </c>
      <c r="BI45" s="2" t="b">
        <f>BH45&lt;=-$BF$128</f>
        <v>0</v>
      </c>
      <c r="BJ45" s="1">
        <v>95</v>
      </c>
      <c r="BK45" s="4">
        <f t="shared" si="56"/>
        <v>3.0645161290322562</v>
      </c>
      <c r="BL45" s="4">
        <f t="shared" si="36"/>
        <v>0</v>
      </c>
      <c r="BM45" s="2" t="b">
        <f>BL45&lt;=-$BJ$128</f>
        <v>0</v>
      </c>
      <c r="BN45" s="1">
        <v>91</v>
      </c>
      <c r="BO45" s="4">
        <f t="shared" si="57"/>
        <v>-3.0967741935483843</v>
      </c>
      <c r="BP45" s="4">
        <f t="shared" si="37"/>
        <v>-40.041961733940823</v>
      </c>
      <c r="BQ45" s="2" t="b">
        <f>BP45&lt;=-$BN$128</f>
        <v>1</v>
      </c>
      <c r="BR45" s="1">
        <v>89</v>
      </c>
      <c r="BS45" s="4">
        <f t="shared" si="58"/>
        <v>4.2903225806451672</v>
      </c>
      <c r="BT45" s="4">
        <f t="shared" si="38"/>
        <v>0</v>
      </c>
      <c r="BU45" s="2" t="b">
        <f>BT45&lt;=-$BR$128</f>
        <v>0</v>
      </c>
      <c r="BV45" s="1">
        <v>84</v>
      </c>
      <c r="BW45" s="2">
        <f t="shared" si="59"/>
        <v>-2.6129032258064484</v>
      </c>
      <c r="BX45" s="4">
        <f t="shared" si="39"/>
        <v>-0.82089588135145264</v>
      </c>
      <c r="BY45" s="2" t="b">
        <f>BX45&lt;=-$BV$128</f>
        <v>0</v>
      </c>
      <c r="BZ45" s="1">
        <v>89</v>
      </c>
      <c r="CA45" s="2">
        <f t="shared" si="60"/>
        <v>-1.0645161290322562</v>
      </c>
      <c r="CB45" s="4">
        <f t="shared" si="40"/>
        <v>0</v>
      </c>
      <c r="CC45" s="2" t="b">
        <f t="shared" si="61"/>
        <v>0</v>
      </c>
    </row>
    <row r="46" spans="1:81" x14ac:dyDescent="0.2">
      <c r="A46" s="3">
        <v>45883</v>
      </c>
      <c r="B46" s="1">
        <v>86</v>
      </c>
      <c r="C46" s="2">
        <f t="shared" si="41"/>
        <v>-5.1935483870967687</v>
      </c>
      <c r="D46" s="4">
        <f t="shared" si="21"/>
        <v>-36.59528009366322</v>
      </c>
      <c r="E46" s="2" t="b">
        <f>D46&lt;=-$B$128</f>
        <v>1</v>
      </c>
      <c r="F46" s="1">
        <v>87</v>
      </c>
      <c r="G46" s="4">
        <f t="shared" si="42"/>
        <v>-0.25806451612903913</v>
      </c>
      <c r="H46" s="4">
        <f t="shared" si="22"/>
        <v>-24.668873948651054</v>
      </c>
      <c r="I46" s="2" t="b">
        <f>H46&lt;=-$F$128</f>
        <v>1</v>
      </c>
      <c r="J46" s="1">
        <v>80</v>
      </c>
      <c r="K46" s="4">
        <f t="shared" si="43"/>
        <v>-9.7096774193548328</v>
      </c>
      <c r="L46" s="4">
        <f t="shared" si="23"/>
        <v>-45.917720016404004</v>
      </c>
      <c r="M46" s="2" t="b">
        <f>L46&lt;=-$J$128</f>
        <v>1</v>
      </c>
      <c r="N46" s="1">
        <v>98</v>
      </c>
      <c r="O46" s="4">
        <f t="shared" si="44"/>
        <v>10.354838709677423</v>
      </c>
      <c r="P46" s="4">
        <f t="shared" si="24"/>
        <v>0</v>
      </c>
      <c r="Q46" s="2" t="b">
        <f>P46&lt;=-$N$128</f>
        <v>0</v>
      </c>
      <c r="R46" s="1">
        <v>89</v>
      </c>
      <c r="S46" s="4">
        <f t="shared" si="45"/>
        <v>-2.7419354838709609</v>
      </c>
      <c r="T46" s="4">
        <f t="shared" si="25"/>
        <v>-29.729700073949203</v>
      </c>
      <c r="U46" s="2" t="b">
        <f>T46&lt;=-$R$128</f>
        <v>1</v>
      </c>
      <c r="V46" s="1">
        <v>87</v>
      </c>
      <c r="W46" s="4">
        <f t="shared" si="46"/>
        <v>0.25806451612903913</v>
      </c>
      <c r="X46" s="4">
        <f t="shared" si="26"/>
        <v>-2.8766023850359517</v>
      </c>
      <c r="Y46" s="2" t="b">
        <f>X46&lt;=-$V$128</f>
        <v>0</v>
      </c>
      <c r="Z46" s="1">
        <v>89</v>
      </c>
      <c r="AA46" s="4">
        <f t="shared" si="47"/>
        <v>-0.25806451612903913</v>
      </c>
      <c r="AB46" s="4">
        <f t="shared" si="27"/>
        <v>0</v>
      </c>
      <c r="AC46" s="2" t="b">
        <f>AB46&lt;=-$Z$128</f>
        <v>0</v>
      </c>
      <c r="AD46" s="1">
        <v>89</v>
      </c>
      <c r="AE46" s="4">
        <f t="shared" si="48"/>
        <v>3.4193548387096797</v>
      </c>
      <c r="AF46" s="4">
        <f t="shared" si="28"/>
        <v>0</v>
      </c>
      <c r="AG46" s="2" t="b">
        <f>AF46&lt;=-$AD$128</f>
        <v>0</v>
      </c>
      <c r="AH46" s="1">
        <v>82</v>
      </c>
      <c r="AI46" s="4">
        <f t="shared" si="49"/>
        <v>-5.8387096774193594</v>
      </c>
      <c r="AJ46" s="4">
        <f t="shared" si="29"/>
        <v>-49.600962776804238</v>
      </c>
      <c r="AK46" s="2" t="b">
        <f>AJ46&lt;=-$AH$128</f>
        <v>1</v>
      </c>
      <c r="AL46" s="1">
        <v>90</v>
      </c>
      <c r="AM46" s="4">
        <f t="shared" si="50"/>
        <v>3.0645161290322562</v>
      </c>
      <c r="AN46" s="4">
        <f t="shared" si="30"/>
        <v>0</v>
      </c>
      <c r="AO46" s="2" t="b">
        <f>AN46&lt;=-$AL$128</f>
        <v>0</v>
      </c>
      <c r="AP46" s="1">
        <v>87</v>
      </c>
      <c r="AQ46" s="4">
        <f t="shared" si="51"/>
        <v>-3.1935483870967687</v>
      </c>
      <c r="AR46" s="4">
        <f t="shared" si="31"/>
        <v>-12.298041043251118</v>
      </c>
      <c r="AS46" s="2" t="b">
        <f>AR46&lt;=-$AP$128</f>
        <v>0</v>
      </c>
      <c r="AT46" s="1">
        <v>99</v>
      </c>
      <c r="AU46" s="4">
        <f t="shared" si="52"/>
        <v>12.58064516129032</v>
      </c>
      <c r="AV46" s="4">
        <f t="shared" si="32"/>
        <v>0</v>
      </c>
      <c r="AW46" s="2" t="b">
        <f>AV46&lt;=-$AT$128</f>
        <v>0</v>
      </c>
      <c r="AX46" s="1">
        <v>84</v>
      </c>
      <c r="AY46" s="4">
        <f t="shared" si="53"/>
        <v>-5.1612903225806406</v>
      </c>
      <c r="AZ46" s="4">
        <f t="shared" si="33"/>
        <v>-24.518498163051984</v>
      </c>
      <c r="BA46" s="2" t="b">
        <f>AZ46&lt;=-$AX$128</f>
        <v>1</v>
      </c>
      <c r="BB46" s="1">
        <v>90</v>
      </c>
      <c r="BC46" s="4">
        <f t="shared" si="54"/>
        <v>3.3548387096774235</v>
      </c>
      <c r="BD46" s="4">
        <f t="shared" si="34"/>
        <v>0</v>
      </c>
      <c r="BE46" s="2" t="b">
        <f>BD46&lt;=-$BB$128</f>
        <v>0</v>
      </c>
      <c r="BF46" s="1">
        <v>89</v>
      </c>
      <c r="BG46" s="4">
        <f t="shared" si="55"/>
        <v>-2.2580645161290391</v>
      </c>
      <c r="BH46" s="4">
        <f t="shared" si="35"/>
        <v>-0.22923997165554955</v>
      </c>
      <c r="BI46" s="2" t="b">
        <f>BH46&lt;=-$BF$128</f>
        <v>0</v>
      </c>
      <c r="BJ46" s="1">
        <v>94</v>
      </c>
      <c r="BK46" s="4">
        <f t="shared" si="56"/>
        <v>2.0645161290322562</v>
      </c>
      <c r="BL46" s="4">
        <f t="shared" si="36"/>
        <v>0</v>
      </c>
      <c r="BM46" s="2" t="b">
        <f>BL46&lt;=-$BJ$128</f>
        <v>0</v>
      </c>
      <c r="BN46" s="1">
        <v>88</v>
      </c>
      <c r="BO46" s="4">
        <f t="shared" si="57"/>
        <v>-6.0967741935483843</v>
      </c>
      <c r="BP46" s="4">
        <f t="shared" si="37"/>
        <v>-43.846157907334906</v>
      </c>
      <c r="BQ46" s="2" t="b">
        <f>BP46&lt;=-$BN$128</f>
        <v>1</v>
      </c>
      <c r="BR46" s="1">
        <v>83</v>
      </c>
      <c r="BS46" s="4">
        <f t="shared" si="58"/>
        <v>-1.7096774193548328</v>
      </c>
      <c r="BT46" s="4">
        <f t="shared" si="38"/>
        <v>0</v>
      </c>
      <c r="BU46" s="2" t="b">
        <f>BT46&lt;=-$BR$128</f>
        <v>0</v>
      </c>
      <c r="BV46" s="1">
        <v>85</v>
      </c>
      <c r="BW46" s="2">
        <f t="shared" si="59"/>
        <v>-1.6129032258064484</v>
      </c>
      <c r="BX46" s="4">
        <f t="shared" si="39"/>
        <v>-0.64179176270290506</v>
      </c>
      <c r="BY46" s="2" t="b">
        <f>BX46&lt;=-$BV$128</f>
        <v>0</v>
      </c>
      <c r="BZ46" s="1">
        <v>90</v>
      </c>
      <c r="CA46" s="2">
        <f t="shared" si="60"/>
        <v>-6.4516129032256231E-2</v>
      </c>
      <c r="CB46" s="4">
        <f t="shared" si="40"/>
        <v>0</v>
      </c>
      <c r="CC46" s="2" t="b">
        <f t="shared" si="61"/>
        <v>0</v>
      </c>
    </row>
    <row r="47" spans="1:81" x14ac:dyDescent="0.2">
      <c r="A47" s="3">
        <v>45884</v>
      </c>
      <c r="B47" s="1">
        <v>89</v>
      </c>
      <c r="C47" s="2">
        <f t="shared" si="41"/>
        <v>-2.1935483870967687</v>
      </c>
      <c r="D47" s="4">
        <f t="shared" si="21"/>
        <v>-36.337912479075754</v>
      </c>
      <c r="E47" s="2" t="b">
        <f>D47&lt;=-$B$128</f>
        <v>1</v>
      </c>
      <c r="F47" s="1">
        <v>88</v>
      </c>
      <c r="G47" s="4">
        <f t="shared" si="42"/>
        <v>0.74193548387096087</v>
      </c>
      <c r="H47" s="4">
        <f t="shared" si="22"/>
        <v>-21.713465545227791</v>
      </c>
      <c r="I47" s="2" t="b">
        <f>H47&lt;=-$F$128</f>
        <v>0</v>
      </c>
      <c r="J47" s="1">
        <v>82</v>
      </c>
      <c r="K47" s="4">
        <f t="shared" si="43"/>
        <v>-7.7096774193548328</v>
      </c>
      <c r="L47" s="4">
        <f t="shared" si="23"/>
        <v>-52.104278112423245</v>
      </c>
      <c r="M47" s="2" t="b">
        <f>L47&lt;=-$J$128</f>
        <v>1</v>
      </c>
      <c r="N47" s="1">
        <v>93</v>
      </c>
      <c r="O47" s="4">
        <f t="shared" si="44"/>
        <v>5.3548387096774235</v>
      </c>
      <c r="P47" s="4">
        <f t="shared" si="24"/>
        <v>0</v>
      </c>
      <c r="Q47" s="2" t="b">
        <f>P47&lt;=-$N$128</f>
        <v>0</v>
      </c>
      <c r="R47" s="1">
        <v>94</v>
      </c>
      <c r="S47" s="4">
        <f t="shared" si="45"/>
        <v>2.2580645161290391</v>
      </c>
      <c r="T47" s="4">
        <f t="shared" si="25"/>
        <v>-24.717947903251343</v>
      </c>
      <c r="U47" s="2" t="b">
        <f>T47&lt;=-$R$128</f>
        <v>0</v>
      </c>
      <c r="V47" s="1">
        <v>84</v>
      </c>
      <c r="W47" s="4">
        <f t="shared" si="46"/>
        <v>-2.7419354838709609</v>
      </c>
      <c r="X47" s="4">
        <f t="shared" si="26"/>
        <v>-4.3149035775539275</v>
      </c>
      <c r="Y47" s="2" t="b">
        <f>X47&lt;=-$V$128</f>
        <v>0</v>
      </c>
      <c r="Z47" s="1">
        <v>88</v>
      </c>
      <c r="AA47" s="4">
        <f t="shared" si="47"/>
        <v>-1.2580645161290391</v>
      </c>
      <c r="AB47" s="4">
        <f t="shared" si="27"/>
        <v>0</v>
      </c>
      <c r="AC47" s="2" t="b">
        <f>AB47&lt;=-$Z$128</f>
        <v>0</v>
      </c>
      <c r="AD47" s="1">
        <v>90</v>
      </c>
      <c r="AE47" s="4">
        <f t="shared" si="48"/>
        <v>4.4193548387096797</v>
      </c>
      <c r="AF47" s="4">
        <f t="shared" si="28"/>
        <v>0</v>
      </c>
      <c r="AG47" s="2" t="b">
        <f>AF47&lt;=-$AD$128</f>
        <v>0</v>
      </c>
      <c r="AH47" s="1">
        <v>82</v>
      </c>
      <c r="AI47" s="4">
        <f t="shared" si="49"/>
        <v>-5.8387096774193594</v>
      </c>
      <c r="AJ47" s="4">
        <f t="shared" si="29"/>
        <v>-53.889958640893596</v>
      </c>
      <c r="AK47" s="2" t="b">
        <f>AJ47&lt;=-$AH$128</f>
        <v>1</v>
      </c>
      <c r="AL47" s="1">
        <v>92</v>
      </c>
      <c r="AM47" s="4">
        <f t="shared" si="50"/>
        <v>5.0645161290322562</v>
      </c>
      <c r="AN47" s="4">
        <f t="shared" si="30"/>
        <v>0</v>
      </c>
      <c r="AO47" s="2" t="b">
        <f>AN47&lt;=-$AL$128</f>
        <v>0</v>
      </c>
      <c r="AP47" s="1">
        <v>86</v>
      </c>
      <c r="AQ47" s="4">
        <f t="shared" si="51"/>
        <v>-4.1935483870967687</v>
      </c>
      <c r="AR47" s="4">
        <f t="shared" si="31"/>
        <v>-14.372551304063897</v>
      </c>
      <c r="AS47" s="9" t="b">
        <f>AR47&lt;=-$AP$128</f>
        <v>0</v>
      </c>
      <c r="AT47" s="1">
        <v>102</v>
      </c>
      <c r="AU47" s="4">
        <f t="shared" si="52"/>
        <v>15.58064516129032</v>
      </c>
      <c r="AV47" s="4">
        <f t="shared" si="32"/>
        <v>0</v>
      </c>
      <c r="AW47" s="2" t="b">
        <f>AV47&lt;=-$AT$128</f>
        <v>0</v>
      </c>
      <c r="AX47" s="1">
        <v>87</v>
      </c>
      <c r="AY47" s="4">
        <f t="shared" si="53"/>
        <v>-2.1612903225806406</v>
      </c>
      <c r="AZ47" s="4">
        <f t="shared" si="33"/>
        <v>-25.306855043487982</v>
      </c>
      <c r="BA47" s="2" t="b">
        <f>AZ47&lt;=-$AX$128</f>
        <v>1</v>
      </c>
      <c r="BB47" s="1">
        <v>90</v>
      </c>
      <c r="BC47" s="4">
        <f t="shared" si="54"/>
        <v>3.3548387096774235</v>
      </c>
      <c r="BD47" s="4">
        <f t="shared" si="34"/>
        <v>0</v>
      </c>
      <c r="BE47" s="2" t="b">
        <f>BD47&lt;=-$BB$128</f>
        <v>0</v>
      </c>
      <c r="BF47" s="1">
        <v>90</v>
      </c>
      <c r="BG47" s="4">
        <f t="shared" si="55"/>
        <v>-1.2580645161290391</v>
      </c>
      <c r="BH47" s="4">
        <f t="shared" si="35"/>
        <v>0</v>
      </c>
      <c r="BI47" s="2" t="b">
        <f>BH47&lt;=-$BF$128</f>
        <v>0</v>
      </c>
      <c r="BJ47" s="1">
        <v>88</v>
      </c>
      <c r="BK47" s="4">
        <f t="shared" si="56"/>
        <v>-3.9354838709677438</v>
      </c>
      <c r="BL47" s="4">
        <f t="shared" si="36"/>
        <v>-2.1989380472563553</v>
      </c>
      <c r="BM47" s="2" t="b">
        <f>BL47&lt;=-$BJ$128</f>
        <v>0</v>
      </c>
      <c r="BN47" s="1">
        <v>85</v>
      </c>
      <c r="BO47" s="4">
        <f t="shared" si="57"/>
        <v>-9.0967741935483843</v>
      </c>
      <c r="BP47" s="4">
        <f t="shared" si="37"/>
        <v>-50.650354080728988</v>
      </c>
      <c r="BQ47" s="2" t="b">
        <f>BP47&lt;=-$BN$128</f>
        <v>1</v>
      </c>
      <c r="BR47" s="1">
        <v>73</v>
      </c>
      <c r="BS47" s="4">
        <f t="shared" si="58"/>
        <v>-11.709677419354833</v>
      </c>
      <c r="BT47" s="4">
        <f t="shared" si="38"/>
        <v>-9.772353025647984</v>
      </c>
      <c r="BU47" s="2" t="b">
        <f>BT47&lt;=-$BR$128</f>
        <v>0</v>
      </c>
      <c r="BV47" s="1">
        <v>87</v>
      </c>
      <c r="BW47" s="2">
        <f t="shared" si="59"/>
        <v>0.3870967741935516</v>
      </c>
      <c r="BX47" s="4">
        <f t="shared" si="39"/>
        <v>0</v>
      </c>
      <c r="BY47" s="2" t="b">
        <f>BX47&lt;=-$BV$128</f>
        <v>0</v>
      </c>
      <c r="BZ47" s="1">
        <v>90</v>
      </c>
      <c r="CA47" s="2">
        <f t="shared" si="60"/>
        <v>-6.4516129032256231E-2</v>
      </c>
      <c r="CB47" s="4">
        <f t="shared" si="40"/>
        <v>0</v>
      </c>
      <c r="CC47" s="2" t="b">
        <f t="shared" si="61"/>
        <v>0</v>
      </c>
    </row>
    <row r="48" spans="1:81" x14ac:dyDescent="0.2">
      <c r="A48" s="3">
        <v>45885</v>
      </c>
      <c r="B48" s="1">
        <v>90</v>
      </c>
      <c r="C48" s="2">
        <f t="shared" si="41"/>
        <v>-1.1935483870967687</v>
      </c>
      <c r="D48" s="4">
        <f t="shared" si="21"/>
        <v>-35.080544864488289</v>
      </c>
      <c r="E48" s="2" t="b">
        <f>D48&lt;=-$B$128</f>
        <v>1</v>
      </c>
      <c r="F48" s="1">
        <v>91</v>
      </c>
      <c r="G48" s="4">
        <f t="shared" si="42"/>
        <v>3.7419354838709609</v>
      </c>
      <c r="H48" s="4">
        <f t="shared" si="22"/>
        <v>-15.758057141804528</v>
      </c>
      <c r="I48" s="2" t="b">
        <f>H48&lt;=-$F$128</f>
        <v>0</v>
      </c>
      <c r="J48" s="1">
        <v>86</v>
      </c>
      <c r="K48" s="4">
        <f t="shared" si="43"/>
        <v>-3.7096774193548328</v>
      </c>
      <c r="L48" s="4">
        <f t="shared" si="23"/>
        <v>-54.290836208442485</v>
      </c>
      <c r="M48" s="2" t="b">
        <f>L48&lt;=-$J$128</f>
        <v>1</v>
      </c>
      <c r="N48" s="1">
        <v>93</v>
      </c>
      <c r="O48" s="4">
        <f t="shared" si="44"/>
        <v>5.3548387096774235</v>
      </c>
      <c r="P48" s="4">
        <f t="shared" si="24"/>
        <v>0</v>
      </c>
      <c r="Q48" s="2" t="b">
        <f>P48&lt;=-$N$128</f>
        <v>0</v>
      </c>
      <c r="R48" s="1">
        <v>97</v>
      </c>
      <c r="S48" s="4">
        <f t="shared" si="45"/>
        <v>5.2580645161290391</v>
      </c>
      <c r="T48" s="4">
        <f t="shared" si="25"/>
        <v>-16.706195732553482</v>
      </c>
      <c r="U48" s="2" t="b">
        <f>T48&lt;=-$R$128</f>
        <v>0</v>
      </c>
      <c r="V48" s="1">
        <v>90</v>
      </c>
      <c r="W48" s="4">
        <f t="shared" si="46"/>
        <v>3.2580645161290391</v>
      </c>
      <c r="X48" s="4">
        <f t="shared" si="26"/>
        <v>0</v>
      </c>
      <c r="Y48" s="2" t="b">
        <f>X48&lt;=-$V$128</f>
        <v>0</v>
      </c>
      <c r="Z48" s="1">
        <v>90</v>
      </c>
      <c r="AA48" s="4">
        <f t="shared" si="47"/>
        <v>0.74193548387096087</v>
      </c>
      <c r="AB48" s="4">
        <f t="shared" si="27"/>
        <v>0</v>
      </c>
      <c r="AC48" s="2" t="b">
        <f>AB48&lt;=-$Z$128</f>
        <v>0</v>
      </c>
      <c r="AD48" s="1">
        <v>86</v>
      </c>
      <c r="AE48" s="4">
        <f t="shared" si="48"/>
        <v>0.41935483870967971</v>
      </c>
      <c r="AF48" s="4">
        <f t="shared" si="28"/>
        <v>0</v>
      </c>
      <c r="AG48" s="2" t="b">
        <f>AF48&lt;=-$AD$128</f>
        <v>0</v>
      </c>
      <c r="AH48" s="1">
        <v>84</v>
      </c>
      <c r="AI48" s="4">
        <f t="shared" si="49"/>
        <v>-3.8387096774193594</v>
      </c>
      <c r="AJ48" s="4">
        <f t="shared" si="29"/>
        <v>-56.178954504982954</v>
      </c>
      <c r="AK48" s="2" t="b">
        <f>AJ48&lt;=-$AH$128</f>
        <v>1</v>
      </c>
      <c r="AL48" s="1">
        <v>89</v>
      </c>
      <c r="AM48" s="4">
        <f t="shared" si="50"/>
        <v>2.0645161290322562</v>
      </c>
      <c r="AN48" s="4">
        <f t="shared" si="30"/>
        <v>0</v>
      </c>
      <c r="AO48" s="2" t="b">
        <f>AN48&lt;=-$AL$128</f>
        <v>0</v>
      </c>
      <c r="AP48" s="1">
        <v>89</v>
      </c>
      <c r="AQ48" s="4">
        <f t="shared" si="51"/>
        <v>-1.1935483870967687</v>
      </c>
      <c r="AR48" s="4">
        <f t="shared" si="31"/>
        <v>-13.447061564876677</v>
      </c>
      <c r="AS48" s="2" t="b">
        <f>AR48&lt;=-$AP$128</f>
        <v>0</v>
      </c>
      <c r="AT48" s="1">
        <v>101</v>
      </c>
      <c r="AU48" s="4">
        <f t="shared" si="52"/>
        <v>14.58064516129032</v>
      </c>
      <c r="AV48" s="4">
        <f t="shared" si="32"/>
        <v>0</v>
      </c>
      <c r="AW48" s="2" t="b">
        <f>AV48&lt;=-$AT$128</f>
        <v>0</v>
      </c>
      <c r="AX48" s="1">
        <v>86</v>
      </c>
      <c r="AY48" s="4">
        <f t="shared" si="53"/>
        <v>-3.1612903225806406</v>
      </c>
      <c r="AZ48" s="4">
        <f t="shared" si="33"/>
        <v>-27.09521192392398</v>
      </c>
      <c r="BA48" s="2" t="b">
        <f>AZ48&lt;=-$AX$128</f>
        <v>1</v>
      </c>
      <c r="BB48" s="1">
        <v>88</v>
      </c>
      <c r="BC48" s="4">
        <f t="shared" si="54"/>
        <v>1.3548387096774235</v>
      </c>
      <c r="BD48" s="4">
        <f t="shared" si="34"/>
        <v>0</v>
      </c>
      <c r="BE48" s="2" t="b">
        <f>BD48&lt;=-$BB$128</f>
        <v>0</v>
      </c>
      <c r="BF48" s="1">
        <v>90</v>
      </c>
      <c r="BG48" s="4">
        <f t="shared" si="55"/>
        <v>-1.2580645161290391</v>
      </c>
      <c r="BH48" s="4">
        <f t="shared" si="35"/>
        <v>0</v>
      </c>
      <c r="BI48" s="2" t="b">
        <f>BH48&lt;=-$BF$128</f>
        <v>0</v>
      </c>
      <c r="BJ48" s="1">
        <v>90</v>
      </c>
      <c r="BK48" s="4">
        <f t="shared" si="56"/>
        <v>-1.9354838709677438</v>
      </c>
      <c r="BL48" s="4">
        <f t="shared" si="36"/>
        <v>-2.3978760945127107</v>
      </c>
      <c r="BM48" s="2" t="b">
        <f>BL48&lt;=-$BJ$128</f>
        <v>0</v>
      </c>
      <c r="BN48" s="1">
        <v>91</v>
      </c>
      <c r="BO48" s="4">
        <f t="shared" si="57"/>
        <v>-3.0967741935483843</v>
      </c>
      <c r="BP48" s="4">
        <f t="shared" si="37"/>
        <v>-51.45455025412307</v>
      </c>
      <c r="BQ48" s="2" t="b">
        <f>BP48&lt;=-$BN$128</f>
        <v>1</v>
      </c>
      <c r="BR48" s="1">
        <v>67</v>
      </c>
      <c r="BS48" s="4">
        <f t="shared" si="58"/>
        <v>-17.709677419354833</v>
      </c>
      <c r="BT48" s="4">
        <f t="shared" si="38"/>
        <v>-25.544706051295968</v>
      </c>
      <c r="BU48" s="9" t="b">
        <f>BT48&lt;=-$BR$128</f>
        <v>1</v>
      </c>
      <c r="BV48" s="1">
        <v>88</v>
      </c>
      <c r="BW48" s="2">
        <f t="shared" si="59"/>
        <v>1.3870967741935516</v>
      </c>
      <c r="BX48" s="4">
        <f t="shared" si="39"/>
        <v>0</v>
      </c>
      <c r="BY48" s="2" t="b">
        <f>BX48&lt;=-$BV$128</f>
        <v>0</v>
      </c>
      <c r="BZ48" s="1">
        <v>90</v>
      </c>
      <c r="CA48" s="2">
        <f t="shared" si="60"/>
        <v>-6.4516129032256231E-2</v>
      </c>
      <c r="CB48" s="4">
        <f t="shared" si="40"/>
        <v>0</v>
      </c>
      <c r="CC48" s="2" t="b">
        <f t="shared" si="61"/>
        <v>0</v>
      </c>
    </row>
    <row r="49" spans="1:81" x14ac:dyDescent="0.2">
      <c r="A49" s="3">
        <v>45886</v>
      </c>
      <c r="B49" s="1">
        <v>91</v>
      </c>
      <c r="C49" s="2">
        <f t="shared" si="41"/>
        <v>-0.19354838709676869</v>
      </c>
      <c r="D49" s="4">
        <f t="shared" si="21"/>
        <v>-32.823177249900823</v>
      </c>
      <c r="E49" s="2" t="b">
        <f>D49&lt;=-$B$128</f>
        <v>1</v>
      </c>
      <c r="F49" s="1">
        <v>91</v>
      </c>
      <c r="G49" s="4">
        <f t="shared" si="42"/>
        <v>3.7419354838709609</v>
      </c>
      <c r="H49" s="4">
        <f t="shared" si="22"/>
        <v>-9.802648738381265</v>
      </c>
      <c r="I49" s="2" t="b">
        <f>H49&lt;=-$F$128</f>
        <v>0</v>
      </c>
      <c r="J49" s="1">
        <v>84</v>
      </c>
      <c r="K49" s="4">
        <f t="shared" si="43"/>
        <v>-5.7096774193548328</v>
      </c>
      <c r="L49" s="4">
        <f t="shared" si="23"/>
        <v>-58.477394304461725</v>
      </c>
      <c r="M49" s="2" t="b">
        <f>L49&lt;=-$J$128</f>
        <v>1</v>
      </c>
      <c r="N49" s="1">
        <v>96</v>
      </c>
      <c r="O49" s="4">
        <f t="shared" si="44"/>
        <v>8.3548387096774235</v>
      </c>
      <c r="P49" s="4">
        <f t="shared" si="24"/>
        <v>0</v>
      </c>
      <c r="Q49" s="2" t="b">
        <f>P49&lt;=-$N$128</f>
        <v>0</v>
      </c>
      <c r="R49" s="1">
        <v>99</v>
      </c>
      <c r="S49" s="4">
        <f t="shared" si="45"/>
        <v>7.2580645161290391</v>
      </c>
      <c r="T49" s="4">
        <f t="shared" si="25"/>
        <v>-6.6944435618556231</v>
      </c>
      <c r="U49" s="2" t="b">
        <f>T49&lt;=-$R$128</f>
        <v>0</v>
      </c>
      <c r="V49" s="1">
        <v>91</v>
      </c>
      <c r="W49" s="4">
        <f t="shared" si="46"/>
        <v>4.2580645161290391</v>
      </c>
      <c r="X49" s="4">
        <f t="shared" si="26"/>
        <v>0</v>
      </c>
      <c r="Y49" s="2" t="b">
        <f>X49&lt;=-$V$128</f>
        <v>0</v>
      </c>
      <c r="Z49" s="1">
        <v>91</v>
      </c>
      <c r="AA49" s="4">
        <f t="shared" si="47"/>
        <v>1.7419354838709609</v>
      </c>
      <c r="AB49" s="4">
        <f t="shared" si="27"/>
        <v>0</v>
      </c>
      <c r="AC49" s="2" t="b">
        <f>AB49&lt;=-$Z$128</f>
        <v>0</v>
      </c>
      <c r="AD49" s="1">
        <v>89</v>
      </c>
      <c r="AE49" s="4">
        <f t="shared" si="48"/>
        <v>3.4193548387096797</v>
      </c>
      <c r="AF49" s="4">
        <f t="shared" si="28"/>
        <v>0</v>
      </c>
      <c r="AG49" s="2" t="b">
        <f>AF49&lt;=-$AD$128</f>
        <v>0</v>
      </c>
      <c r="AH49" s="1">
        <v>86</v>
      </c>
      <c r="AI49" s="4">
        <f t="shared" si="49"/>
        <v>-1.8387096774193594</v>
      </c>
      <c r="AJ49" s="4">
        <f t="shared" si="29"/>
        <v>-56.467950369072312</v>
      </c>
      <c r="AK49" s="2" t="b">
        <f>AJ49&lt;=-$AH$128</f>
        <v>1</v>
      </c>
      <c r="AL49" s="1">
        <v>90</v>
      </c>
      <c r="AM49" s="4">
        <f t="shared" si="50"/>
        <v>3.0645161290322562</v>
      </c>
      <c r="AN49" s="4">
        <f t="shared" si="30"/>
        <v>0</v>
      </c>
      <c r="AO49" s="2" t="b">
        <f>AN49&lt;=-$AL$128</f>
        <v>0</v>
      </c>
      <c r="AP49" s="1">
        <v>86</v>
      </c>
      <c r="AQ49" s="4">
        <f t="shared" si="51"/>
        <v>-4.1935483870967687</v>
      </c>
      <c r="AR49" s="4">
        <f t="shared" si="31"/>
        <v>-15.521571825689456</v>
      </c>
      <c r="AS49" s="2" t="b">
        <f>AR49&lt;=-$AP$128</f>
        <v>0</v>
      </c>
      <c r="AT49" s="1">
        <v>101</v>
      </c>
      <c r="AU49" s="4">
        <f t="shared" si="52"/>
        <v>14.58064516129032</v>
      </c>
      <c r="AV49" s="4">
        <f t="shared" si="32"/>
        <v>0</v>
      </c>
      <c r="AW49" s="2" t="b">
        <f>AV49&lt;=-$AT$128</f>
        <v>0</v>
      </c>
      <c r="AX49" s="1">
        <v>85</v>
      </c>
      <c r="AY49" s="4">
        <f t="shared" si="53"/>
        <v>-4.1612903225806406</v>
      </c>
      <c r="AZ49" s="4">
        <f t="shared" si="33"/>
        <v>-29.883568804359978</v>
      </c>
      <c r="BA49" s="2" t="b">
        <f>AZ49&lt;=-$AX$128</f>
        <v>1</v>
      </c>
      <c r="BB49" s="1">
        <v>87</v>
      </c>
      <c r="BC49" s="4">
        <f t="shared" si="54"/>
        <v>0.35483870967742348</v>
      </c>
      <c r="BD49" s="4">
        <f t="shared" si="34"/>
        <v>0</v>
      </c>
      <c r="BE49" s="2" t="b">
        <f>BD49&lt;=-$BB$128</f>
        <v>0</v>
      </c>
      <c r="BF49" s="1">
        <v>91</v>
      </c>
      <c r="BG49" s="4">
        <f t="shared" si="55"/>
        <v>-0.25806451612903913</v>
      </c>
      <c r="BH49" s="4">
        <f t="shared" si="35"/>
        <v>0</v>
      </c>
      <c r="BI49" s="2" t="b">
        <f>BH49&lt;=-$BF$128</f>
        <v>0</v>
      </c>
      <c r="BJ49" s="1">
        <v>92</v>
      </c>
      <c r="BK49" s="4">
        <f t="shared" si="56"/>
        <v>6.4516129032256231E-2</v>
      </c>
      <c r="BL49" s="4">
        <f t="shared" si="36"/>
        <v>-0.59681414176906578</v>
      </c>
      <c r="BM49" s="2" t="b">
        <f>BL49&lt;=-$BJ$128</f>
        <v>0</v>
      </c>
      <c r="BN49" s="1">
        <v>87</v>
      </c>
      <c r="BO49" s="4">
        <f t="shared" si="57"/>
        <v>-7.0967741935483843</v>
      </c>
      <c r="BP49" s="4">
        <f t="shared" si="37"/>
        <v>-56.258746427517153</v>
      </c>
      <c r="BQ49" s="2" t="b">
        <f>BP49&lt;=-$BN$128</f>
        <v>1</v>
      </c>
      <c r="BR49" s="1">
        <v>66</v>
      </c>
      <c r="BS49" s="4">
        <f t="shared" si="58"/>
        <v>-18.709677419354833</v>
      </c>
      <c r="BT49" s="4">
        <f t="shared" si="38"/>
        <v>-42.317059076943949</v>
      </c>
      <c r="BU49" s="2" t="b">
        <f>BT49&lt;=-$BR$128</f>
        <v>1</v>
      </c>
      <c r="BV49" s="1">
        <v>89</v>
      </c>
      <c r="BW49" s="2">
        <f t="shared" si="59"/>
        <v>2.3870967741935516</v>
      </c>
      <c r="BX49" s="4">
        <f t="shared" si="39"/>
        <v>0</v>
      </c>
      <c r="BY49" s="2" t="b">
        <f>BX49&lt;=-$BV$128</f>
        <v>0</v>
      </c>
      <c r="BZ49" s="1">
        <v>89</v>
      </c>
      <c r="CA49" s="2">
        <f t="shared" si="60"/>
        <v>-1.0645161290322562</v>
      </c>
      <c r="CB49" s="4">
        <f t="shared" si="40"/>
        <v>0</v>
      </c>
      <c r="CC49" s="2" t="b">
        <f t="shared" si="61"/>
        <v>0</v>
      </c>
    </row>
    <row r="50" spans="1:81" x14ac:dyDescent="0.2">
      <c r="A50" s="3">
        <v>45887</v>
      </c>
      <c r="B50" s="1">
        <v>91</v>
      </c>
      <c r="C50" s="2">
        <f t="shared" si="41"/>
        <v>-0.19354838709676869</v>
      </c>
      <c r="D50" s="4">
        <f t="shared" si="21"/>
        <v>-30.565809635313357</v>
      </c>
      <c r="E50" s="2" t="b">
        <f>D50&lt;=-$B$128</f>
        <v>1</v>
      </c>
      <c r="F50" s="1">
        <v>89</v>
      </c>
      <c r="G50" s="4">
        <f t="shared" si="42"/>
        <v>1.7419354838709609</v>
      </c>
      <c r="H50" s="4">
        <f t="shared" si="22"/>
        <v>-5.8472403349580011</v>
      </c>
      <c r="I50" s="2" t="b">
        <f>H50&lt;=-$F$128</f>
        <v>0</v>
      </c>
      <c r="J50" s="1">
        <v>87</v>
      </c>
      <c r="K50" s="4">
        <f t="shared" si="43"/>
        <v>-2.7096774193548328</v>
      </c>
      <c r="L50" s="4">
        <f t="shared" si="23"/>
        <v>-59.663952400480966</v>
      </c>
      <c r="M50" s="2" t="b">
        <f>L50&lt;=-$J$128</f>
        <v>1</v>
      </c>
      <c r="N50" s="1">
        <v>98</v>
      </c>
      <c r="O50" s="4">
        <f t="shared" si="44"/>
        <v>10.354838709677423</v>
      </c>
      <c r="P50" s="4">
        <f t="shared" si="24"/>
        <v>0</v>
      </c>
      <c r="Q50" s="2" t="b">
        <f>P50&lt;=-$N$128</f>
        <v>0</v>
      </c>
      <c r="R50" s="1">
        <v>101</v>
      </c>
      <c r="S50" s="4">
        <f t="shared" si="45"/>
        <v>9.2580645161290391</v>
      </c>
      <c r="T50" s="4">
        <f t="shared" si="25"/>
        <v>0</v>
      </c>
      <c r="U50" s="2" t="b">
        <f>T50&lt;=-$R$128</f>
        <v>0</v>
      </c>
      <c r="V50" s="1">
        <v>91</v>
      </c>
      <c r="W50" s="4">
        <f t="shared" si="46"/>
        <v>4.2580645161290391</v>
      </c>
      <c r="X50" s="4">
        <f t="shared" si="26"/>
        <v>0</v>
      </c>
      <c r="Y50" s="2" t="b">
        <f>X50&lt;=-$V$128</f>
        <v>0</v>
      </c>
      <c r="Z50" s="1">
        <v>93</v>
      </c>
      <c r="AA50" s="4">
        <f t="shared" si="47"/>
        <v>3.7419354838709609</v>
      </c>
      <c r="AB50" s="4">
        <f t="shared" si="27"/>
        <v>0</v>
      </c>
      <c r="AC50" s="2" t="b">
        <f>AB50&lt;=-$Z$128</f>
        <v>0</v>
      </c>
      <c r="AD50" s="1">
        <v>90</v>
      </c>
      <c r="AE50" s="4">
        <f t="shared" si="48"/>
        <v>4.4193548387096797</v>
      </c>
      <c r="AF50" s="4">
        <f t="shared" si="28"/>
        <v>0</v>
      </c>
      <c r="AG50" s="2" t="b">
        <f>AF50&lt;=-$AD$128</f>
        <v>0</v>
      </c>
      <c r="AH50" s="1">
        <v>86</v>
      </c>
      <c r="AI50" s="4">
        <f t="shared" si="49"/>
        <v>-1.8387096774193594</v>
      </c>
      <c r="AJ50" s="4">
        <f t="shared" si="29"/>
        <v>-56.756946233161671</v>
      </c>
      <c r="AK50" s="2" t="b">
        <f>AJ50&lt;=-$AH$128</f>
        <v>1</v>
      </c>
      <c r="AL50" s="1">
        <v>90</v>
      </c>
      <c r="AM50" s="4">
        <f t="shared" si="50"/>
        <v>3.0645161290322562</v>
      </c>
      <c r="AN50" s="4">
        <f t="shared" si="30"/>
        <v>0</v>
      </c>
      <c r="AO50" s="2" t="b">
        <f>AN50&lt;=-$AL$128</f>
        <v>0</v>
      </c>
      <c r="AP50" s="1">
        <v>88</v>
      </c>
      <c r="AQ50" s="4">
        <f t="shared" si="51"/>
        <v>-2.1935483870967687</v>
      </c>
      <c r="AR50" s="4">
        <f t="shared" si="31"/>
        <v>-15.596082086502236</v>
      </c>
      <c r="AS50" s="2" t="b">
        <f>AR50&lt;=-$AP$128</f>
        <v>0</v>
      </c>
      <c r="AT50" s="1">
        <v>97</v>
      </c>
      <c r="AU50" s="4">
        <f t="shared" si="52"/>
        <v>10.58064516129032</v>
      </c>
      <c r="AV50" s="4">
        <f t="shared" si="32"/>
        <v>0</v>
      </c>
      <c r="AW50" s="2" t="b">
        <f>AV50&lt;=-$AT$128</f>
        <v>0</v>
      </c>
      <c r="AX50" s="1">
        <v>86</v>
      </c>
      <c r="AY50" s="4">
        <f t="shared" si="53"/>
        <v>-3.1612903225806406</v>
      </c>
      <c r="AZ50" s="4">
        <f t="shared" si="33"/>
        <v>-31.67192568479598</v>
      </c>
      <c r="BA50" s="2" t="b">
        <f>AZ50&lt;=-$AX$128</f>
        <v>1</v>
      </c>
      <c r="BB50" s="1">
        <v>88</v>
      </c>
      <c r="BC50" s="4">
        <f t="shared" si="54"/>
        <v>1.3548387096774235</v>
      </c>
      <c r="BD50" s="4">
        <f t="shared" si="34"/>
        <v>0</v>
      </c>
      <c r="BE50" s="2" t="b">
        <f>BD50&lt;=-$BB$128</f>
        <v>0</v>
      </c>
      <c r="BF50" s="1">
        <v>93</v>
      </c>
      <c r="BG50" s="4">
        <f t="shared" si="55"/>
        <v>1.7419354838709609</v>
      </c>
      <c r="BH50" s="4">
        <f t="shared" si="35"/>
        <v>0</v>
      </c>
      <c r="BI50" s="2" t="b">
        <f>BH50&lt;=-$BF$128</f>
        <v>0</v>
      </c>
      <c r="BJ50" s="1">
        <v>94</v>
      </c>
      <c r="BK50" s="4">
        <f t="shared" si="56"/>
        <v>2.0645161290322562</v>
      </c>
      <c r="BL50" s="4">
        <f t="shared" si="36"/>
        <v>0</v>
      </c>
      <c r="BM50" s="2" t="b">
        <f>BL50&lt;=-$BJ$128</f>
        <v>0</v>
      </c>
      <c r="BN50" s="1">
        <v>87</v>
      </c>
      <c r="BO50" s="4">
        <f t="shared" si="57"/>
        <v>-7.0967741935483843</v>
      </c>
      <c r="BP50" s="4">
        <f t="shared" si="37"/>
        <v>-61.062942600911235</v>
      </c>
      <c r="BQ50" s="2" t="b">
        <f>BP50&lt;=-$BN$128</f>
        <v>1</v>
      </c>
      <c r="BR50" s="1">
        <v>77</v>
      </c>
      <c r="BS50" s="4">
        <f t="shared" si="58"/>
        <v>-7.7096774193548328</v>
      </c>
      <c r="BT50" s="4">
        <f t="shared" si="38"/>
        <v>-48.089412102591929</v>
      </c>
      <c r="BU50" s="2" t="b">
        <f>BT50&lt;=-$BR$128</f>
        <v>1</v>
      </c>
      <c r="BV50" s="1">
        <v>89</v>
      </c>
      <c r="BW50" s="2">
        <f t="shared" si="59"/>
        <v>2.3870967741935516</v>
      </c>
      <c r="BX50" s="4">
        <f t="shared" si="39"/>
        <v>0</v>
      </c>
      <c r="BY50" s="2" t="b">
        <f>BX50&lt;=-$BV$128</f>
        <v>0</v>
      </c>
      <c r="BZ50" s="1">
        <v>88</v>
      </c>
      <c r="CA50" s="2">
        <f t="shared" si="60"/>
        <v>-2.0645161290322562</v>
      </c>
      <c r="CB50" s="4">
        <f t="shared" si="40"/>
        <v>-0.28530523713397793</v>
      </c>
      <c r="CC50" s="2" t="b">
        <f t="shared" si="61"/>
        <v>0</v>
      </c>
    </row>
    <row r="51" spans="1:81" x14ac:dyDescent="0.2">
      <c r="A51" s="3">
        <v>45888</v>
      </c>
      <c r="B51" s="1">
        <v>90</v>
      </c>
      <c r="C51" s="2">
        <f t="shared" si="41"/>
        <v>-1.1935483870967687</v>
      </c>
      <c r="D51" s="4">
        <f t="shared" si="21"/>
        <v>-29.308442020725892</v>
      </c>
      <c r="E51" s="2" t="b">
        <f>D51&lt;=-$B$128</f>
        <v>1</v>
      </c>
      <c r="F51" s="1">
        <v>89</v>
      </c>
      <c r="G51" s="4">
        <f t="shared" si="42"/>
        <v>1.7419354838709609</v>
      </c>
      <c r="H51" s="4">
        <f t="shared" si="22"/>
        <v>-1.8918319315347372</v>
      </c>
      <c r="I51" s="2" t="b">
        <f>H51&lt;=-$F$128</f>
        <v>0</v>
      </c>
      <c r="J51" s="1">
        <v>90</v>
      </c>
      <c r="K51" s="4">
        <f t="shared" si="43"/>
        <v>0.29032258064516725</v>
      </c>
      <c r="L51" s="4">
        <f t="shared" si="23"/>
        <v>-57.850510496500206</v>
      </c>
      <c r="M51" s="2" t="b">
        <f>L51&lt;=-$J$128</f>
        <v>1</v>
      </c>
      <c r="N51" s="1">
        <v>98</v>
      </c>
      <c r="O51" s="4">
        <f t="shared" si="44"/>
        <v>10.354838709677423</v>
      </c>
      <c r="P51" s="4">
        <f t="shared" si="24"/>
        <v>0</v>
      </c>
      <c r="Q51" s="2" t="b">
        <f>P51&lt;=-$N$128</f>
        <v>0</v>
      </c>
      <c r="R51" s="1">
        <v>101</v>
      </c>
      <c r="S51" s="4">
        <f t="shared" si="45"/>
        <v>9.2580645161290391</v>
      </c>
      <c r="T51" s="4">
        <f t="shared" si="25"/>
        <v>0</v>
      </c>
      <c r="U51" s="2" t="b">
        <f>T51&lt;=-$R$128</f>
        <v>0</v>
      </c>
      <c r="V51" s="1">
        <v>87</v>
      </c>
      <c r="W51" s="4">
        <f t="shared" si="46"/>
        <v>0.25806451612903913</v>
      </c>
      <c r="X51" s="4">
        <f t="shared" si="26"/>
        <v>0</v>
      </c>
      <c r="Y51" s="2" t="b">
        <f>X51&lt;=-$V$128</f>
        <v>0</v>
      </c>
      <c r="Z51" s="1">
        <v>91</v>
      </c>
      <c r="AA51" s="4">
        <f t="shared" si="47"/>
        <v>1.7419354838709609</v>
      </c>
      <c r="AB51" s="4">
        <f t="shared" si="27"/>
        <v>0</v>
      </c>
      <c r="AC51" s="2" t="b">
        <f>AB51&lt;=-$Z$128</f>
        <v>0</v>
      </c>
      <c r="AD51" s="1">
        <v>90</v>
      </c>
      <c r="AE51" s="4">
        <f t="shared" si="48"/>
        <v>4.4193548387096797</v>
      </c>
      <c r="AF51" s="4">
        <f t="shared" si="28"/>
        <v>0</v>
      </c>
      <c r="AG51" s="2" t="b">
        <f>AF51&lt;=-$AD$128</f>
        <v>0</v>
      </c>
      <c r="AH51" s="1">
        <v>89</v>
      </c>
      <c r="AI51" s="4">
        <f t="shared" si="49"/>
        <v>1.1612903225806406</v>
      </c>
      <c r="AJ51" s="4">
        <f t="shared" si="29"/>
        <v>-54.045942097251029</v>
      </c>
      <c r="AK51" s="2" t="b">
        <f>AJ51&lt;=-$AH$128</f>
        <v>1</v>
      </c>
      <c r="AL51" s="1">
        <v>89</v>
      </c>
      <c r="AM51" s="4">
        <f t="shared" si="50"/>
        <v>2.0645161290322562</v>
      </c>
      <c r="AN51" s="4">
        <f t="shared" si="30"/>
        <v>0</v>
      </c>
      <c r="AO51" s="2" t="b">
        <f>AN51&lt;=-$AL$128</f>
        <v>0</v>
      </c>
      <c r="AP51" s="1">
        <v>88</v>
      </c>
      <c r="AQ51" s="4">
        <f t="shared" si="51"/>
        <v>-2.1935483870967687</v>
      </c>
      <c r="AR51" s="4">
        <f t="shared" si="31"/>
        <v>-15.670592347315015</v>
      </c>
      <c r="AS51" s="2" t="b">
        <f>AR51&lt;=-$AP$128</f>
        <v>0</v>
      </c>
      <c r="AT51" s="1">
        <v>95</v>
      </c>
      <c r="AU51" s="4">
        <f t="shared" si="52"/>
        <v>8.5806451612903203</v>
      </c>
      <c r="AV51" s="4">
        <f t="shared" si="32"/>
        <v>0</v>
      </c>
      <c r="AW51" s="2" t="b">
        <f>AV51&lt;=-$AT$128</f>
        <v>0</v>
      </c>
      <c r="AX51" s="1">
        <v>90</v>
      </c>
      <c r="AY51" s="4">
        <f t="shared" si="53"/>
        <v>0.83870967741935942</v>
      </c>
      <c r="AZ51" s="4">
        <f t="shared" si="33"/>
        <v>-29.460282565231978</v>
      </c>
      <c r="BA51" s="2" t="b">
        <f>AZ51&lt;=-$AX$128</f>
        <v>1</v>
      </c>
      <c r="BB51" s="1">
        <v>90</v>
      </c>
      <c r="BC51" s="4">
        <f t="shared" si="54"/>
        <v>3.3548387096774235</v>
      </c>
      <c r="BD51" s="4">
        <f t="shared" si="34"/>
        <v>0</v>
      </c>
      <c r="BE51" s="2" t="b">
        <f>BD51&lt;=-$BB$128</f>
        <v>0</v>
      </c>
      <c r="BF51" s="1">
        <v>92</v>
      </c>
      <c r="BG51" s="4">
        <f t="shared" si="55"/>
        <v>0.74193548387096087</v>
      </c>
      <c r="BH51" s="4">
        <f t="shared" si="35"/>
        <v>0</v>
      </c>
      <c r="BI51" s="2" t="b">
        <f>BH51&lt;=-$BF$128</f>
        <v>0</v>
      </c>
      <c r="BJ51" s="1">
        <v>96</v>
      </c>
      <c r="BK51" s="4">
        <f t="shared" si="56"/>
        <v>4.0645161290322562</v>
      </c>
      <c r="BL51" s="4">
        <f t="shared" si="36"/>
        <v>0</v>
      </c>
      <c r="BM51" s="2" t="b">
        <f>BL51&lt;=-$BJ$128</f>
        <v>0</v>
      </c>
      <c r="BN51" s="1">
        <v>84</v>
      </c>
      <c r="BO51" s="4">
        <f t="shared" si="57"/>
        <v>-10.096774193548384</v>
      </c>
      <c r="BP51" s="4">
        <f t="shared" si="37"/>
        <v>-68.867138774305317</v>
      </c>
      <c r="BQ51" s="2" t="b">
        <f>BP51&lt;=-$BN$128</f>
        <v>1</v>
      </c>
      <c r="BR51" s="1">
        <v>82</v>
      </c>
      <c r="BS51" s="4">
        <f t="shared" si="58"/>
        <v>-2.7096774193548328</v>
      </c>
      <c r="BT51" s="4">
        <f t="shared" si="38"/>
        <v>-48.861765128239909</v>
      </c>
      <c r="BU51" s="2" t="b">
        <f>BT51&lt;=-$BR$128</f>
        <v>1</v>
      </c>
      <c r="BV51" s="1">
        <v>86</v>
      </c>
      <c r="BW51" s="2">
        <f t="shared" si="59"/>
        <v>-0.6129032258064484</v>
      </c>
      <c r="BX51" s="4">
        <f t="shared" si="39"/>
        <v>0</v>
      </c>
      <c r="BY51" s="2" t="b">
        <f>BX51&lt;=-$BV$128</f>
        <v>0</v>
      </c>
      <c r="BZ51" s="1">
        <v>89</v>
      </c>
      <c r="CA51" s="2">
        <f t="shared" si="60"/>
        <v>-1.0645161290322562</v>
      </c>
      <c r="CB51" s="4">
        <f t="shared" si="40"/>
        <v>0</v>
      </c>
      <c r="CC51" s="2" t="b">
        <f t="shared" si="61"/>
        <v>0</v>
      </c>
    </row>
    <row r="52" spans="1:81" x14ac:dyDescent="0.2">
      <c r="A52" s="3">
        <v>45889</v>
      </c>
      <c r="B52" s="1">
        <v>89</v>
      </c>
      <c r="C52" s="2">
        <f t="shared" si="41"/>
        <v>-2.1935483870967687</v>
      </c>
      <c r="D52" s="4">
        <f t="shared" si="21"/>
        <v>-29.051074406138426</v>
      </c>
      <c r="E52" s="2" t="b">
        <f>D52&lt;=-$B$128</f>
        <v>1</v>
      </c>
      <c r="F52" s="1">
        <v>88</v>
      </c>
      <c r="G52" s="4">
        <f t="shared" si="42"/>
        <v>0.74193548387096087</v>
      </c>
      <c r="H52" s="4">
        <f t="shared" si="22"/>
        <v>0</v>
      </c>
      <c r="I52" s="2" t="b">
        <f>H52&lt;=-$F$128</f>
        <v>0</v>
      </c>
      <c r="J52" s="1">
        <v>79</v>
      </c>
      <c r="K52" s="4">
        <f t="shared" si="43"/>
        <v>-10.709677419354833</v>
      </c>
      <c r="L52" s="4">
        <f t="shared" si="23"/>
        <v>-67.037068592519446</v>
      </c>
      <c r="M52" s="2" t="b">
        <f>L52&lt;=-$J$128</f>
        <v>1</v>
      </c>
      <c r="N52" s="1">
        <v>89</v>
      </c>
      <c r="O52" s="4">
        <f t="shared" si="44"/>
        <v>1.3548387096774235</v>
      </c>
      <c r="P52" s="4">
        <f t="shared" si="24"/>
        <v>0</v>
      </c>
      <c r="Q52" s="2" t="b">
        <f>P52&lt;=-$N$128</f>
        <v>0</v>
      </c>
      <c r="R52" s="1">
        <v>97</v>
      </c>
      <c r="S52" s="4">
        <f t="shared" si="45"/>
        <v>5.2580645161290391</v>
      </c>
      <c r="T52" s="4">
        <f t="shared" si="25"/>
        <v>0</v>
      </c>
      <c r="U52" s="2" t="b">
        <f>T52&lt;=-$R$128</f>
        <v>0</v>
      </c>
      <c r="V52" s="1">
        <v>86</v>
      </c>
      <c r="W52" s="4">
        <f t="shared" si="46"/>
        <v>-0.74193548387096087</v>
      </c>
      <c r="X52" s="4">
        <f t="shared" si="26"/>
        <v>0</v>
      </c>
      <c r="Y52" s="2" t="b">
        <f>X52&lt;=-$V$128</f>
        <v>0</v>
      </c>
      <c r="Z52" s="1">
        <v>93</v>
      </c>
      <c r="AA52" s="4">
        <f t="shared" si="47"/>
        <v>3.7419354838709609</v>
      </c>
      <c r="AB52" s="4">
        <f t="shared" si="27"/>
        <v>0</v>
      </c>
      <c r="AC52" s="2" t="b">
        <f>AB52&lt;=-$Z$128</f>
        <v>0</v>
      </c>
      <c r="AD52" s="1">
        <v>87</v>
      </c>
      <c r="AE52" s="4">
        <f t="shared" si="48"/>
        <v>1.4193548387096797</v>
      </c>
      <c r="AF52" s="4">
        <f t="shared" si="28"/>
        <v>0</v>
      </c>
      <c r="AG52" s="2" t="b">
        <f>AF52&lt;=-$AD$128</f>
        <v>0</v>
      </c>
      <c r="AH52" s="1">
        <v>88</v>
      </c>
      <c r="AI52" s="4">
        <f t="shared" si="49"/>
        <v>0.16129032258064058</v>
      </c>
      <c r="AJ52" s="4">
        <f t="shared" si="29"/>
        <v>-52.334937961340387</v>
      </c>
      <c r="AK52" s="2" t="b">
        <f>AJ52&lt;=-$AH$128</f>
        <v>1</v>
      </c>
      <c r="AL52" s="1">
        <v>92</v>
      </c>
      <c r="AM52" s="4">
        <f t="shared" si="50"/>
        <v>5.0645161290322562</v>
      </c>
      <c r="AN52" s="4">
        <f t="shared" si="30"/>
        <v>0</v>
      </c>
      <c r="AO52" s="2" t="b">
        <f>AN52&lt;=-$AL$128</f>
        <v>0</v>
      </c>
      <c r="AP52" s="1">
        <v>93</v>
      </c>
      <c r="AQ52" s="4">
        <f t="shared" si="51"/>
        <v>2.8064516129032313</v>
      </c>
      <c r="AR52" s="4">
        <f t="shared" si="31"/>
        <v>-10.745102608127794</v>
      </c>
      <c r="AS52" s="2" t="b">
        <f>AR52&lt;=-$AP$128</f>
        <v>0</v>
      </c>
      <c r="AT52" s="1">
        <v>96</v>
      </c>
      <c r="AU52" s="4">
        <f t="shared" si="52"/>
        <v>9.5806451612903203</v>
      </c>
      <c r="AV52" s="4">
        <f t="shared" si="32"/>
        <v>0</v>
      </c>
      <c r="AW52" s="2" t="b">
        <f>AV52&lt;=-$AT$128</f>
        <v>0</v>
      </c>
      <c r="AX52" s="1">
        <v>90</v>
      </c>
      <c r="AY52" s="4">
        <f t="shared" si="53"/>
        <v>0.83870967741935942</v>
      </c>
      <c r="AZ52" s="4">
        <f t="shared" si="33"/>
        <v>-27.248639445667976</v>
      </c>
      <c r="BA52" s="2" t="b">
        <f>AZ52&lt;=-$AX$128</f>
        <v>1</v>
      </c>
      <c r="BB52" s="1">
        <v>88</v>
      </c>
      <c r="BC52" s="4">
        <f t="shared" si="54"/>
        <v>1.3548387096774235</v>
      </c>
      <c r="BD52" s="4">
        <f t="shared" si="34"/>
        <v>0</v>
      </c>
      <c r="BE52" s="2" t="b">
        <f>BD52&lt;=-$BB$128</f>
        <v>0</v>
      </c>
      <c r="BF52" s="1">
        <v>93</v>
      </c>
      <c r="BG52" s="4">
        <f t="shared" si="55"/>
        <v>1.7419354838709609</v>
      </c>
      <c r="BH52" s="4">
        <f t="shared" si="35"/>
        <v>0</v>
      </c>
      <c r="BI52" s="2" t="b">
        <f>BH52&lt;=-$BF$128</f>
        <v>0</v>
      </c>
      <c r="BJ52" s="1">
        <v>93</v>
      </c>
      <c r="BK52" s="4">
        <f t="shared" si="56"/>
        <v>1.0645161290322562</v>
      </c>
      <c r="BL52" s="4">
        <f t="shared" si="36"/>
        <v>0</v>
      </c>
      <c r="BM52" s="2" t="b">
        <f>BL52&lt;=-$BJ$128</f>
        <v>0</v>
      </c>
      <c r="BN52" s="1">
        <v>84</v>
      </c>
      <c r="BO52" s="4">
        <f t="shared" si="57"/>
        <v>-10.096774193548384</v>
      </c>
      <c r="BP52" s="4">
        <f t="shared" si="37"/>
        <v>-76.671334947699393</v>
      </c>
      <c r="BQ52" s="2" t="b">
        <f>BP52&lt;=-$BN$128</f>
        <v>1</v>
      </c>
      <c r="BR52" s="1">
        <v>84</v>
      </c>
      <c r="BS52" s="4">
        <f t="shared" si="58"/>
        <v>-0.70967741935483275</v>
      </c>
      <c r="BT52" s="4">
        <f t="shared" si="38"/>
        <v>-47.63411815388789</v>
      </c>
      <c r="BU52" s="2" t="b">
        <f>BT52&lt;=-$BR$128</f>
        <v>1</v>
      </c>
      <c r="BV52" s="1">
        <v>89</v>
      </c>
      <c r="BW52" s="2">
        <f t="shared" si="59"/>
        <v>2.3870967741935516</v>
      </c>
      <c r="BX52" s="4">
        <f t="shared" si="39"/>
        <v>0</v>
      </c>
      <c r="BY52" s="2" t="b">
        <f>BX52&lt;=-$BV$128</f>
        <v>0</v>
      </c>
      <c r="BZ52" s="1">
        <v>88</v>
      </c>
      <c r="CA52" s="2">
        <f t="shared" si="60"/>
        <v>-2.0645161290322562</v>
      </c>
      <c r="CB52" s="4">
        <f t="shared" si="40"/>
        <v>-0.28530523713397793</v>
      </c>
      <c r="CC52" s="2" t="b">
        <f t="shared" si="61"/>
        <v>0</v>
      </c>
    </row>
    <row r="53" spans="1:81" x14ac:dyDescent="0.2">
      <c r="A53" s="3">
        <v>45890</v>
      </c>
      <c r="B53" s="1">
        <v>90</v>
      </c>
      <c r="C53" s="2">
        <f t="shared" si="41"/>
        <v>-1.1935483870967687</v>
      </c>
      <c r="D53" s="4">
        <f t="shared" si="21"/>
        <v>-27.79370679155096</v>
      </c>
      <c r="E53" s="2" t="b">
        <f>D53&lt;=-$B$128</f>
        <v>1</v>
      </c>
      <c r="F53" s="1">
        <v>82</v>
      </c>
      <c r="G53" s="4">
        <f t="shared" si="42"/>
        <v>-5.2580645161290391</v>
      </c>
      <c r="H53" s="4">
        <f t="shared" si="22"/>
        <v>-3.0445915965767361</v>
      </c>
      <c r="I53" s="2" t="b">
        <f>H53&lt;=-$F$128</f>
        <v>0</v>
      </c>
      <c r="J53" s="1">
        <v>84</v>
      </c>
      <c r="K53" s="4">
        <f t="shared" si="43"/>
        <v>-5.7096774193548328</v>
      </c>
      <c r="L53" s="4">
        <f t="shared" si="23"/>
        <v>-71.223626688538687</v>
      </c>
      <c r="M53" s="2" t="b">
        <f>L53&lt;=-$J$128</f>
        <v>1</v>
      </c>
      <c r="N53" s="1">
        <v>91</v>
      </c>
      <c r="O53" s="4">
        <f t="shared" si="44"/>
        <v>3.3548387096774235</v>
      </c>
      <c r="P53" s="4">
        <f t="shared" si="24"/>
        <v>0</v>
      </c>
      <c r="Q53" s="2" t="b">
        <f>P53&lt;=-$N$128</f>
        <v>0</v>
      </c>
      <c r="R53" s="1">
        <v>87</v>
      </c>
      <c r="S53" s="4">
        <f t="shared" si="45"/>
        <v>-4.7419354838709609</v>
      </c>
      <c r="T53" s="4">
        <f t="shared" si="25"/>
        <v>-1.9882478293021406</v>
      </c>
      <c r="U53" s="2" t="b">
        <f>T53&lt;=-$R$128</f>
        <v>0</v>
      </c>
      <c r="V53" s="1">
        <v>88</v>
      </c>
      <c r="W53" s="4">
        <f t="shared" si="46"/>
        <v>1.2580645161290391</v>
      </c>
      <c r="X53" s="4">
        <f t="shared" si="26"/>
        <v>0</v>
      </c>
      <c r="Y53" s="2" t="b">
        <f>X53&lt;=-$V$128</f>
        <v>0</v>
      </c>
      <c r="Z53" s="1">
        <v>93</v>
      </c>
      <c r="AA53" s="4">
        <f t="shared" si="47"/>
        <v>3.7419354838709609</v>
      </c>
      <c r="AB53" s="4">
        <f t="shared" si="27"/>
        <v>0</v>
      </c>
      <c r="AC53" s="2" t="b">
        <f>AB53&lt;=-$Z$128</f>
        <v>0</v>
      </c>
      <c r="AD53" s="1">
        <v>88</v>
      </c>
      <c r="AE53" s="4">
        <f t="shared" si="48"/>
        <v>2.4193548387096797</v>
      </c>
      <c r="AF53" s="4">
        <f t="shared" si="28"/>
        <v>0</v>
      </c>
      <c r="AG53" s="2" t="b">
        <f>AF53&lt;=-$AD$128</f>
        <v>0</v>
      </c>
      <c r="AH53" s="1">
        <v>82</v>
      </c>
      <c r="AI53" s="4">
        <f t="shared" si="49"/>
        <v>-5.8387096774193594</v>
      </c>
      <c r="AJ53" s="4">
        <f t="shared" si="29"/>
        <v>-56.623933825429745</v>
      </c>
      <c r="AK53" s="2" t="b">
        <f>AJ53&lt;=-$AH$128</f>
        <v>1</v>
      </c>
      <c r="AL53" s="1">
        <v>94</v>
      </c>
      <c r="AM53" s="4">
        <f t="shared" si="50"/>
        <v>7.0645161290322562</v>
      </c>
      <c r="AN53" s="4">
        <f t="shared" si="30"/>
        <v>0</v>
      </c>
      <c r="AO53" s="2" t="b">
        <f>AN53&lt;=-$AL$128</f>
        <v>0</v>
      </c>
      <c r="AP53" s="1">
        <v>91</v>
      </c>
      <c r="AQ53" s="4">
        <f t="shared" si="51"/>
        <v>0.80645161290323131</v>
      </c>
      <c r="AR53" s="4">
        <f t="shared" si="31"/>
        <v>-7.8196128689405739</v>
      </c>
      <c r="AS53" s="2" t="b">
        <f>AR53&lt;=-$AP$128</f>
        <v>0</v>
      </c>
      <c r="AT53" s="1">
        <v>99</v>
      </c>
      <c r="AU53" s="4">
        <f t="shared" si="52"/>
        <v>12.58064516129032</v>
      </c>
      <c r="AV53" s="4">
        <f t="shared" si="32"/>
        <v>0</v>
      </c>
      <c r="AW53" s="2" t="b">
        <f>AV53&lt;=-$AT$128</f>
        <v>0</v>
      </c>
      <c r="AX53" s="1">
        <v>85</v>
      </c>
      <c r="AY53" s="4">
        <f t="shared" si="53"/>
        <v>-4.1612903225806406</v>
      </c>
      <c r="AZ53" s="4">
        <f t="shared" si="33"/>
        <v>-30.036996326103974</v>
      </c>
      <c r="BA53" s="2" t="b">
        <f>AZ53&lt;=-$AX$128</f>
        <v>1</v>
      </c>
      <c r="BB53" s="1">
        <v>88</v>
      </c>
      <c r="BC53" s="4">
        <f t="shared" si="54"/>
        <v>1.3548387096774235</v>
      </c>
      <c r="BD53" s="4">
        <f t="shared" si="34"/>
        <v>0</v>
      </c>
      <c r="BE53" s="2" t="b">
        <f>BD53&lt;=-$BB$128</f>
        <v>0</v>
      </c>
      <c r="BF53" s="1">
        <v>93</v>
      </c>
      <c r="BG53" s="4">
        <f t="shared" si="55"/>
        <v>1.7419354838709609</v>
      </c>
      <c r="BH53" s="4">
        <f t="shared" si="35"/>
        <v>0</v>
      </c>
      <c r="BI53" s="2" t="b">
        <f>BH53&lt;=-$BF$128</f>
        <v>0</v>
      </c>
      <c r="BJ53" s="1">
        <v>94</v>
      </c>
      <c r="BK53" s="4">
        <f t="shared" si="56"/>
        <v>2.0645161290322562</v>
      </c>
      <c r="BL53" s="4">
        <f t="shared" si="36"/>
        <v>0</v>
      </c>
      <c r="BM53" s="2" t="b">
        <f>BL53&lt;=-$BJ$128</f>
        <v>0</v>
      </c>
      <c r="BN53" s="1">
        <v>88</v>
      </c>
      <c r="BO53" s="4">
        <f t="shared" si="57"/>
        <v>-6.0967741935483843</v>
      </c>
      <c r="BP53" s="4">
        <f t="shared" si="37"/>
        <v>-80.475531121093468</v>
      </c>
      <c r="BQ53" s="2" t="b">
        <f>BP53&lt;=-$BN$128</f>
        <v>1</v>
      </c>
      <c r="BR53" s="1">
        <v>84</v>
      </c>
      <c r="BS53" s="4">
        <f t="shared" si="58"/>
        <v>-0.70967741935483275</v>
      </c>
      <c r="BT53" s="4">
        <f t="shared" si="38"/>
        <v>-46.40647117953587</v>
      </c>
      <c r="BU53" s="2" t="b">
        <f>BT53&lt;=-$BR$128</f>
        <v>1</v>
      </c>
      <c r="BV53" s="1">
        <v>92</v>
      </c>
      <c r="BW53" s="2">
        <f t="shared" si="59"/>
        <v>5.3870967741935516</v>
      </c>
      <c r="BX53" s="4">
        <f t="shared" si="39"/>
        <v>0</v>
      </c>
      <c r="BY53" s="2" t="b">
        <f>BX53&lt;=-$BV$128</f>
        <v>0</v>
      </c>
      <c r="BZ53" s="1">
        <v>89</v>
      </c>
      <c r="CA53" s="2">
        <f t="shared" si="60"/>
        <v>-1.0645161290322562</v>
      </c>
      <c r="CB53" s="4">
        <f t="shared" si="40"/>
        <v>0</v>
      </c>
      <c r="CC53" s="2" t="b">
        <f t="shared" si="61"/>
        <v>0</v>
      </c>
    </row>
    <row r="54" spans="1:81" x14ac:dyDescent="0.2">
      <c r="A54" s="3">
        <v>45891</v>
      </c>
      <c r="B54" s="1">
        <v>91</v>
      </c>
      <c r="C54" s="2">
        <f t="shared" si="41"/>
        <v>-0.19354838709676869</v>
      </c>
      <c r="D54" s="4">
        <f t="shared" si="21"/>
        <v>-25.536339176963494</v>
      </c>
      <c r="E54" s="2" t="b">
        <f>D54&lt;=-$B$128</f>
        <v>1</v>
      </c>
      <c r="F54" s="1">
        <v>79</v>
      </c>
      <c r="G54" s="4">
        <f t="shared" si="42"/>
        <v>-8.2580645161290391</v>
      </c>
      <c r="H54" s="4">
        <f t="shared" si="22"/>
        <v>-9.0891831931534739</v>
      </c>
      <c r="I54" s="2" t="b">
        <f>H54&lt;=-$F$128</f>
        <v>0</v>
      </c>
      <c r="J54" s="1">
        <v>87</v>
      </c>
      <c r="K54" s="4">
        <f t="shared" si="43"/>
        <v>-2.7096774193548328</v>
      </c>
      <c r="L54" s="4">
        <f t="shared" si="23"/>
        <v>-72.410184784557927</v>
      </c>
      <c r="M54" s="2" t="b">
        <f>L54&lt;=-$J$128</f>
        <v>1</v>
      </c>
      <c r="N54" s="1">
        <v>91</v>
      </c>
      <c r="O54" s="4">
        <f t="shared" si="44"/>
        <v>3.3548387096774235</v>
      </c>
      <c r="P54" s="4">
        <f t="shared" si="24"/>
        <v>0</v>
      </c>
      <c r="Q54" s="2" t="b">
        <f>P54&lt;=-$N$128</f>
        <v>0</v>
      </c>
      <c r="R54" s="1">
        <v>86</v>
      </c>
      <c r="S54" s="4">
        <f t="shared" si="45"/>
        <v>-5.7419354838709609</v>
      </c>
      <c r="T54" s="4">
        <f t="shared" si="25"/>
        <v>-4.9764956586042821</v>
      </c>
      <c r="U54" s="2" t="b">
        <f>T54&lt;=-$R$128</f>
        <v>0</v>
      </c>
      <c r="V54" s="1">
        <v>90</v>
      </c>
      <c r="W54" s="4">
        <f t="shared" si="46"/>
        <v>3.2580645161290391</v>
      </c>
      <c r="X54" s="4">
        <f t="shared" si="26"/>
        <v>0</v>
      </c>
      <c r="Y54" s="2" t="b">
        <f>X54&lt;=-$V$128</f>
        <v>0</v>
      </c>
      <c r="Z54" s="1">
        <v>91</v>
      </c>
      <c r="AA54" s="4">
        <f t="shared" si="47"/>
        <v>1.7419354838709609</v>
      </c>
      <c r="AB54" s="4">
        <f t="shared" si="27"/>
        <v>0</v>
      </c>
      <c r="AC54" s="2" t="b">
        <f>AB54&lt;=-$Z$128</f>
        <v>0</v>
      </c>
      <c r="AD54" s="1">
        <v>88</v>
      </c>
      <c r="AE54" s="4">
        <f t="shared" si="48"/>
        <v>2.4193548387096797</v>
      </c>
      <c r="AF54" s="4">
        <f t="shared" si="28"/>
        <v>0</v>
      </c>
      <c r="AG54" s="2" t="b">
        <f>AF54&lt;=-$AD$128</f>
        <v>0</v>
      </c>
      <c r="AH54" s="1">
        <v>84</v>
      </c>
      <c r="AI54" s="4">
        <f t="shared" si="49"/>
        <v>-3.8387096774193594</v>
      </c>
      <c r="AJ54" s="4">
        <f t="shared" si="29"/>
        <v>-58.912929689519103</v>
      </c>
      <c r="AK54" s="2" t="b">
        <f>AJ54&lt;=-$AH$128</f>
        <v>1</v>
      </c>
      <c r="AL54" s="1">
        <v>93</v>
      </c>
      <c r="AM54" s="4">
        <f t="shared" si="50"/>
        <v>6.0645161290322562</v>
      </c>
      <c r="AN54" s="4">
        <f t="shared" si="30"/>
        <v>0</v>
      </c>
      <c r="AO54" s="2" t="b">
        <f>AN54&lt;=-$AL$128</f>
        <v>0</v>
      </c>
      <c r="AP54" s="1">
        <v>88</v>
      </c>
      <c r="AQ54" s="4">
        <f t="shared" si="51"/>
        <v>-2.1935483870967687</v>
      </c>
      <c r="AR54" s="4">
        <f t="shared" si="31"/>
        <v>-7.8941231297533534</v>
      </c>
      <c r="AS54" s="2" t="b">
        <f>AR54&lt;=-$AP$128</f>
        <v>0</v>
      </c>
      <c r="AT54" s="1">
        <v>104</v>
      </c>
      <c r="AU54" s="4">
        <f t="shared" si="52"/>
        <v>17.58064516129032</v>
      </c>
      <c r="AV54" s="4">
        <f t="shared" si="32"/>
        <v>0</v>
      </c>
      <c r="AW54" s="2" t="b">
        <f>AV54&lt;=-$AT$128</f>
        <v>0</v>
      </c>
      <c r="AX54" s="1">
        <v>82</v>
      </c>
      <c r="AY54" s="4">
        <f t="shared" si="53"/>
        <v>-7.1612903225806406</v>
      </c>
      <c r="AZ54" s="4">
        <f t="shared" si="33"/>
        <v>-35.825353206539972</v>
      </c>
      <c r="BA54" s="2" t="b">
        <f>AZ54&lt;=-$AX$128</f>
        <v>1</v>
      </c>
      <c r="BB54" s="1">
        <v>85</v>
      </c>
      <c r="BC54" s="4">
        <f t="shared" si="54"/>
        <v>-1.6451612903225765</v>
      </c>
      <c r="BD54" s="4">
        <f t="shared" si="34"/>
        <v>0</v>
      </c>
      <c r="BE54" s="2" t="b">
        <f>BD54&lt;=-$BB$128</f>
        <v>0</v>
      </c>
      <c r="BF54" s="1">
        <v>94</v>
      </c>
      <c r="BG54" s="4">
        <f t="shared" si="55"/>
        <v>2.7419354838709609</v>
      </c>
      <c r="BH54" s="4">
        <f t="shared" si="35"/>
        <v>0</v>
      </c>
      <c r="BI54" s="2" t="b">
        <f>BH54&lt;=-$BF$128</f>
        <v>0</v>
      </c>
      <c r="BJ54" s="1">
        <v>98</v>
      </c>
      <c r="BK54" s="4">
        <f t="shared" si="56"/>
        <v>6.0645161290322562</v>
      </c>
      <c r="BL54" s="4">
        <f t="shared" si="36"/>
        <v>0</v>
      </c>
      <c r="BM54" s="2" t="b">
        <f>BL54&lt;=-$BJ$128</f>
        <v>0</v>
      </c>
      <c r="BN54" s="1">
        <v>84</v>
      </c>
      <c r="BO54" s="4">
        <f t="shared" si="57"/>
        <v>-10.096774193548384</v>
      </c>
      <c r="BP54" s="4">
        <f t="shared" si="37"/>
        <v>-88.279727294487543</v>
      </c>
      <c r="BQ54" s="2" t="b">
        <f>BP54&lt;=-$BN$128</f>
        <v>1</v>
      </c>
      <c r="BR54" s="1">
        <v>88</v>
      </c>
      <c r="BS54" s="4">
        <f t="shared" si="58"/>
        <v>3.2903225806451672</v>
      </c>
      <c r="BT54" s="4">
        <f t="shared" si="38"/>
        <v>-41.178824205183851</v>
      </c>
      <c r="BU54" s="2" t="b">
        <f>BT54&lt;=-$BR$128</f>
        <v>1</v>
      </c>
      <c r="BV54" s="1">
        <v>93</v>
      </c>
      <c r="BW54" s="2">
        <f t="shared" si="59"/>
        <v>6.3870967741935516</v>
      </c>
      <c r="BX54" s="4">
        <f t="shared" si="39"/>
        <v>0</v>
      </c>
      <c r="BY54" s="2" t="b">
        <f>BX54&lt;=-$BV$128</f>
        <v>0</v>
      </c>
      <c r="BZ54" s="1">
        <v>92</v>
      </c>
      <c r="CA54" s="2">
        <f t="shared" si="60"/>
        <v>1.9354838709677438</v>
      </c>
      <c r="CB54" s="4">
        <f t="shared" si="40"/>
        <v>0</v>
      </c>
      <c r="CC54" s="2" t="b">
        <f t="shared" si="61"/>
        <v>0</v>
      </c>
    </row>
    <row r="55" spans="1:81" x14ac:dyDescent="0.2">
      <c r="A55" s="3">
        <v>45892</v>
      </c>
      <c r="B55" s="1">
        <v>91</v>
      </c>
      <c r="C55" s="2">
        <f t="shared" si="41"/>
        <v>-0.19354838709676869</v>
      </c>
      <c r="D55" s="4">
        <f t="shared" si="21"/>
        <v>-23.278971562376029</v>
      </c>
      <c r="E55" s="2" t="b">
        <f>D55&lt;=-$B$128</f>
        <v>0</v>
      </c>
      <c r="F55" s="1">
        <v>81</v>
      </c>
      <c r="G55" s="4">
        <f t="shared" si="42"/>
        <v>-6.2580645161290391</v>
      </c>
      <c r="H55" s="4">
        <f t="shared" si="22"/>
        <v>-13.133774789730211</v>
      </c>
      <c r="I55" s="2" t="b">
        <f>H55&lt;=-$F$128</f>
        <v>0</v>
      </c>
      <c r="J55" s="1">
        <v>87</v>
      </c>
      <c r="K55" s="4">
        <f t="shared" si="43"/>
        <v>-2.7096774193548328</v>
      </c>
      <c r="L55" s="4">
        <f t="shared" si="23"/>
        <v>-73.596742880577168</v>
      </c>
      <c r="M55" s="2" t="b">
        <f>L55&lt;=-$J$128</f>
        <v>1</v>
      </c>
      <c r="N55" s="1">
        <v>90</v>
      </c>
      <c r="O55" s="4">
        <f t="shared" si="44"/>
        <v>2.3548387096774235</v>
      </c>
      <c r="P55" s="4">
        <f t="shared" si="24"/>
        <v>0</v>
      </c>
      <c r="Q55" s="2" t="b">
        <f>P55&lt;=-$N$128</f>
        <v>0</v>
      </c>
      <c r="R55" s="1">
        <v>88</v>
      </c>
      <c r="S55" s="4">
        <f t="shared" si="45"/>
        <v>-3.7419354838709609</v>
      </c>
      <c r="T55" s="4">
        <f t="shared" si="25"/>
        <v>-5.9647434879064232</v>
      </c>
      <c r="U55" s="2" t="b">
        <f>T55&lt;=-$R$128</f>
        <v>0</v>
      </c>
      <c r="V55" s="1">
        <v>88</v>
      </c>
      <c r="W55" s="4">
        <f t="shared" si="46"/>
        <v>1.2580645161290391</v>
      </c>
      <c r="X55" s="4">
        <f t="shared" si="26"/>
        <v>0</v>
      </c>
      <c r="Y55" s="2" t="b">
        <f>X55&lt;=-$V$128</f>
        <v>0</v>
      </c>
      <c r="Z55" s="1">
        <v>95</v>
      </c>
      <c r="AA55" s="4">
        <f t="shared" si="47"/>
        <v>5.7419354838709609</v>
      </c>
      <c r="AB55" s="4">
        <f t="shared" si="27"/>
        <v>0</v>
      </c>
      <c r="AC55" s="2" t="b">
        <f>AB55&lt;=-$Z$128</f>
        <v>0</v>
      </c>
      <c r="AD55" s="1">
        <v>90</v>
      </c>
      <c r="AE55" s="4">
        <f t="shared" si="48"/>
        <v>4.4193548387096797</v>
      </c>
      <c r="AF55" s="4">
        <f t="shared" si="28"/>
        <v>0</v>
      </c>
      <c r="AG55" s="2" t="b">
        <f>AF55&lt;=-$AD$128</f>
        <v>0</v>
      </c>
      <c r="AH55" s="1">
        <v>84</v>
      </c>
      <c r="AI55" s="4">
        <f t="shared" si="49"/>
        <v>-3.8387096774193594</v>
      </c>
      <c r="AJ55" s="4">
        <f t="shared" si="29"/>
        <v>-61.201925553608461</v>
      </c>
      <c r="AK55" s="2" t="b">
        <f>AJ55&lt;=-$AH$128</f>
        <v>1</v>
      </c>
      <c r="AL55" s="1">
        <v>87</v>
      </c>
      <c r="AM55" s="4">
        <f t="shared" si="50"/>
        <v>6.4516129032256231E-2</v>
      </c>
      <c r="AN55" s="4">
        <f t="shared" si="30"/>
        <v>0</v>
      </c>
      <c r="AO55" s="2" t="b">
        <f>AN55&lt;=-$AL$128</f>
        <v>0</v>
      </c>
      <c r="AP55" s="1">
        <v>87</v>
      </c>
      <c r="AQ55" s="4">
        <f t="shared" si="51"/>
        <v>-3.1935483870967687</v>
      </c>
      <c r="AR55" s="4">
        <f t="shared" si="31"/>
        <v>-8.9686333905661328</v>
      </c>
      <c r="AS55" s="2" t="b">
        <f>AR55&lt;=-$AP$128</f>
        <v>0</v>
      </c>
      <c r="AT55" s="1">
        <v>98</v>
      </c>
      <c r="AU55" s="4">
        <f t="shared" si="52"/>
        <v>11.58064516129032</v>
      </c>
      <c r="AV55" s="4">
        <f t="shared" si="32"/>
        <v>0</v>
      </c>
      <c r="AW55" s="2" t="b">
        <f>AV55&lt;=-$AT$128</f>
        <v>0</v>
      </c>
      <c r="AX55" s="1">
        <v>78</v>
      </c>
      <c r="AY55" s="4">
        <f t="shared" si="53"/>
        <v>-11.161290322580641</v>
      </c>
      <c r="AZ55" s="4">
        <f t="shared" si="33"/>
        <v>-45.613710086975971</v>
      </c>
      <c r="BA55" s="2" t="b">
        <f>AZ55&lt;=-$AX$128</f>
        <v>1</v>
      </c>
      <c r="BB55" s="1">
        <v>81</v>
      </c>
      <c r="BC55" s="4">
        <f t="shared" si="54"/>
        <v>-5.6451612903225765</v>
      </c>
      <c r="BD55" s="4">
        <f t="shared" si="34"/>
        <v>-3.7987756900358338</v>
      </c>
      <c r="BE55" s="2" t="b">
        <f>BD55&lt;=-$BB$128</f>
        <v>0</v>
      </c>
      <c r="BF55" s="1">
        <v>93</v>
      </c>
      <c r="BG55" s="4">
        <f t="shared" si="55"/>
        <v>1.7419354838709609</v>
      </c>
      <c r="BH55" s="4">
        <f t="shared" si="35"/>
        <v>0</v>
      </c>
      <c r="BI55" s="2" t="b">
        <f>BH55&lt;=-$BF$128</f>
        <v>0</v>
      </c>
      <c r="BJ55" s="1">
        <v>92</v>
      </c>
      <c r="BK55" s="4">
        <f t="shared" si="56"/>
        <v>6.4516129032256231E-2</v>
      </c>
      <c r="BL55" s="4">
        <f t="shared" si="36"/>
        <v>0</v>
      </c>
      <c r="BM55" s="2" t="b">
        <f>BL55&lt;=-$BJ$128</f>
        <v>0</v>
      </c>
      <c r="BN55" s="1">
        <v>88</v>
      </c>
      <c r="BO55" s="4">
        <f t="shared" si="57"/>
        <v>-6.0967741935483843</v>
      </c>
      <c r="BP55" s="4">
        <f t="shared" si="37"/>
        <v>-92.083923467881618</v>
      </c>
      <c r="BQ55" s="2" t="b">
        <f>BP55&lt;=-$BN$128</f>
        <v>1</v>
      </c>
      <c r="BR55" s="1">
        <v>90</v>
      </c>
      <c r="BS55" s="4">
        <f t="shared" si="58"/>
        <v>5.2903225806451672</v>
      </c>
      <c r="BT55" s="4">
        <f t="shared" si="38"/>
        <v>-33.951177230831831</v>
      </c>
      <c r="BU55" s="2" t="b">
        <f>BT55&lt;=-$BR$128</f>
        <v>1</v>
      </c>
      <c r="BV55" s="1">
        <v>93</v>
      </c>
      <c r="BW55" s="2">
        <f t="shared" si="59"/>
        <v>6.3870967741935516</v>
      </c>
      <c r="BX55" s="4">
        <f t="shared" si="39"/>
        <v>0</v>
      </c>
      <c r="BY55" s="2" t="b">
        <f>BX55&lt;=-$BV$128</f>
        <v>0</v>
      </c>
      <c r="BZ55" s="1">
        <v>87</v>
      </c>
      <c r="CA55" s="2">
        <f t="shared" si="60"/>
        <v>-3.0645161290322562</v>
      </c>
      <c r="CB55" s="4">
        <f t="shared" si="40"/>
        <v>-1.2853052371339779</v>
      </c>
      <c r="CC55" s="2" t="b">
        <f t="shared" si="61"/>
        <v>0</v>
      </c>
    </row>
    <row r="56" spans="1:81" x14ac:dyDescent="0.2">
      <c r="A56" s="3">
        <v>45893</v>
      </c>
      <c r="B56" s="1">
        <v>91</v>
      </c>
      <c r="C56" s="2">
        <f t="shared" si="41"/>
        <v>-0.19354838709676869</v>
      </c>
      <c r="D56" s="4">
        <f t="shared" si="21"/>
        <v>-21.021603947788563</v>
      </c>
      <c r="E56" s="2" t="b">
        <f>D56&lt;=-$B$128</f>
        <v>0</v>
      </c>
      <c r="F56" s="1">
        <v>82</v>
      </c>
      <c r="G56" s="4">
        <f t="shared" si="42"/>
        <v>-5.2580645161290391</v>
      </c>
      <c r="H56" s="4">
        <f t="shared" si="22"/>
        <v>-16.178366386306948</v>
      </c>
      <c r="I56" s="2" t="b">
        <f>H56&lt;=-$F$128</f>
        <v>0</v>
      </c>
      <c r="J56" s="1">
        <v>88</v>
      </c>
      <c r="K56" s="4">
        <f t="shared" si="43"/>
        <v>-1.7096774193548328</v>
      </c>
      <c r="L56" s="4">
        <f t="shared" si="23"/>
        <v>-73.783300976596408</v>
      </c>
      <c r="M56" s="2" t="b">
        <f>L56&lt;=-$J$128</f>
        <v>1</v>
      </c>
      <c r="N56" s="1">
        <v>80</v>
      </c>
      <c r="O56" s="4">
        <f t="shared" si="44"/>
        <v>-7.6451612903225765</v>
      </c>
      <c r="P56" s="4">
        <f t="shared" si="24"/>
        <v>-4.753943590987876</v>
      </c>
      <c r="Q56" s="2" t="b">
        <f>P56&lt;=-$N$128</f>
        <v>0</v>
      </c>
      <c r="R56" s="1">
        <v>92</v>
      </c>
      <c r="S56" s="4">
        <f t="shared" si="45"/>
        <v>0.25806451612903913</v>
      </c>
      <c r="T56" s="4">
        <f t="shared" si="25"/>
        <v>-2.9529913172085638</v>
      </c>
      <c r="U56" s="2" t="b">
        <f>T56&lt;=-$R$128</f>
        <v>0</v>
      </c>
      <c r="V56" s="1">
        <v>93</v>
      </c>
      <c r="W56" s="4">
        <f t="shared" si="46"/>
        <v>6.2580645161290391</v>
      </c>
      <c r="X56" s="4">
        <f t="shared" si="26"/>
        <v>0</v>
      </c>
      <c r="Y56" s="2" t="b">
        <f>X56&lt;=-$V$128</f>
        <v>0</v>
      </c>
      <c r="Z56" s="1">
        <v>93</v>
      </c>
      <c r="AA56" s="4">
        <f t="shared" si="47"/>
        <v>3.7419354838709609</v>
      </c>
      <c r="AB56" s="4">
        <f t="shared" si="27"/>
        <v>0</v>
      </c>
      <c r="AC56" s="2" t="b">
        <f>AB56&lt;=-$Z$128</f>
        <v>0</v>
      </c>
      <c r="AD56" s="1">
        <v>89</v>
      </c>
      <c r="AE56" s="4">
        <f t="shared" si="48"/>
        <v>3.4193548387096797</v>
      </c>
      <c r="AF56" s="4">
        <f t="shared" si="28"/>
        <v>0</v>
      </c>
      <c r="AG56" s="2" t="b">
        <f>AF56&lt;=-$AD$128</f>
        <v>0</v>
      </c>
      <c r="AH56" s="1">
        <v>87</v>
      </c>
      <c r="AI56" s="4">
        <f t="shared" si="49"/>
        <v>-0.83870967741935942</v>
      </c>
      <c r="AJ56" s="4">
        <f t="shared" si="29"/>
        <v>-60.49092141769782</v>
      </c>
      <c r="AK56" s="2" t="b">
        <f>AJ56&lt;=-$AH$128</f>
        <v>1</v>
      </c>
      <c r="AL56" s="1">
        <v>85</v>
      </c>
      <c r="AM56" s="4">
        <f t="shared" si="50"/>
        <v>-1.9354838709677438</v>
      </c>
      <c r="AN56" s="4">
        <f t="shared" si="30"/>
        <v>0</v>
      </c>
      <c r="AO56" s="2" t="b">
        <f>AN56&lt;=-$AL$128</f>
        <v>0</v>
      </c>
      <c r="AP56" s="1">
        <v>83</v>
      </c>
      <c r="AQ56" s="4">
        <f t="shared" si="51"/>
        <v>-7.1935483870967687</v>
      </c>
      <c r="AR56" s="4">
        <f t="shared" si="31"/>
        <v>-14.043143651378912</v>
      </c>
      <c r="AS56" s="2" t="b">
        <f>AR56&lt;=-$AP$128</f>
        <v>0</v>
      </c>
      <c r="AT56" s="1">
        <v>95</v>
      </c>
      <c r="AU56" s="4">
        <f t="shared" si="52"/>
        <v>8.5806451612903203</v>
      </c>
      <c r="AV56" s="4">
        <f t="shared" si="32"/>
        <v>0</v>
      </c>
      <c r="AW56" s="2" t="b">
        <f>AV56&lt;=-$AT$128</f>
        <v>0</v>
      </c>
      <c r="AX56" s="1">
        <v>83</v>
      </c>
      <c r="AY56" s="4">
        <f t="shared" si="53"/>
        <v>-6.1612903225806406</v>
      </c>
      <c r="AZ56" s="4">
        <f t="shared" si="33"/>
        <v>-50.402066967411969</v>
      </c>
      <c r="BA56" s="2" t="b">
        <f>AZ56&lt;=-$AX$128</f>
        <v>1</v>
      </c>
      <c r="BB56" s="1">
        <v>86</v>
      </c>
      <c r="BC56" s="4">
        <f t="shared" si="54"/>
        <v>-0.64516129032257652</v>
      </c>
      <c r="BD56" s="4">
        <f t="shared" si="34"/>
        <v>-2.5975513800716676</v>
      </c>
      <c r="BE56" s="2" t="b">
        <f>BD56&lt;=-$BB$128</f>
        <v>0</v>
      </c>
      <c r="BF56" s="1">
        <v>90</v>
      </c>
      <c r="BG56" s="4">
        <f t="shared" si="55"/>
        <v>-1.2580645161290391</v>
      </c>
      <c r="BH56" s="4">
        <f t="shared" si="35"/>
        <v>0</v>
      </c>
      <c r="BI56" s="2" t="b">
        <f>BH56&lt;=-$BF$128</f>
        <v>0</v>
      </c>
      <c r="BJ56" s="1">
        <v>93</v>
      </c>
      <c r="BK56" s="4">
        <f t="shared" si="56"/>
        <v>1.0645161290322562</v>
      </c>
      <c r="BL56" s="4">
        <f t="shared" si="36"/>
        <v>0</v>
      </c>
      <c r="BM56" s="2" t="b">
        <f>BL56&lt;=-$BJ$128</f>
        <v>0</v>
      </c>
      <c r="BN56" s="1">
        <v>86</v>
      </c>
      <c r="BO56" s="4">
        <f t="shared" si="57"/>
        <v>-8.0967741935483843</v>
      </c>
      <c r="BP56" s="4">
        <f t="shared" si="37"/>
        <v>-97.888119641275694</v>
      </c>
      <c r="BQ56" s="2" t="b">
        <f>BP56&lt;=-$BN$128</f>
        <v>1</v>
      </c>
      <c r="BR56" s="1">
        <v>84</v>
      </c>
      <c r="BS56" s="4">
        <f t="shared" si="58"/>
        <v>-0.70967741935483275</v>
      </c>
      <c r="BT56" s="4">
        <f t="shared" si="38"/>
        <v>-32.723530256479812</v>
      </c>
      <c r="BU56" s="2" t="b">
        <f>BT56&lt;=-$BR$128</f>
        <v>1</v>
      </c>
      <c r="BV56" s="1">
        <v>88</v>
      </c>
      <c r="BW56" s="2">
        <f t="shared" si="59"/>
        <v>1.3870967741935516</v>
      </c>
      <c r="BX56" s="4">
        <f t="shared" si="39"/>
        <v>0</v>
      </c>
      <c r="BY56" s="2" t="b">
        <f>BX56&lt;=-$BV$128</f>
        <v>0</v>
      </c>
      <c r="BZ56" s="1">
        <v>89</v>
      </c>
      <c r="CA56" s="2">
        <f t="shared" si="60"/>
        <v>-1.0645161290322562</v>
      </c>
      <c r="CB56" s="4">
        <f t="shared" si="40"/>
        <v>-0.57061047426795586</v>
      </c>
      <c r="CC56" s="2" t="b">
        <f t="shared" si="61"/>
        <v>0</v>
      </c>
    </row>
    <row r="57" spans="1:81" x14ac:dyDescent="0.2">
      <c r="A57" s="3">
        <v>45894</v>
      </c>
      <c r="B57" s="1">
        <v>84</v>
      </c>
      <c r="C57" s="2">
        <f t="shared" si="41"/>
        <v>-7.1935483870967687</v>
      </c>
      <c r="D57" s="4">
        <f t="shared" si="21"/>
        <v>-25.764236333201097</v>
      </c>
      <c r="E57" s="2" t="b">
        <f>D57&lt;=-$B$128</f>
        <v>1</v>
      </c>
      <c r="F57" s="1">
        <v>84</v>
      </c>
      <c r="G57" s="4">
        <f t="shared" si="42"/>
        <v>-3.2580645161290391</v>
      </c>
      <c r="H57" s="4">
        <f t="shared" si="22"/>
        <v>-17.222957982883685</v>
      </c>
      <c r="I57" s="2" t="b">
        <f>H57&lt;=-$F$128</f>
        <v>0</v>
      </c>
      <c r="J57" s="1">
        <v>90</v>
      </c>
      <c r="K57" s="4">
        <f t="shared" si="43"/>
        <v>0.29032258064516725</v>
      </c>
      <c r="L57" s="4">
        <f t="shared" si="23"/>
        <v>-71.969859072615648</v>
      </c>
      <c r="M57" s="2" t="b">
        <f>L57&lt;=-$J$128</f>
        <v>1</v>
      </c>
      <c r="N57" s="1">
        <v>82</v>
      </c>
      <c r="O57" s="4">
        <f t="shared" si="44"/>
        <v>-5.6451612903225765</v>
      </c>
      <c r="P57" s="4">
        <f t="shared" si="24"/>
        <v>-7.5078871819757529</v>
      </c>
      <c r="Q57" s="2" t="b">
        <f>P57&lt;=-$N$128</f>
        <v>0</v>
      </c>
      <c r="R57" s="1">
        <v>92</v>
      </c>
      <c r="S57" s="4">
        <f t="shared" si="45"/>
        <v>0.25806451612903913</v>
      </c>
      <c r="T57" s="4">
        <f t="shared" si="25"/>
        <v>0</v>
      </c>
      <c r="U57" s="2" t="b">
        <f>T57&lt;=-$R$128</f>
        <v>0</v>
      </c>
      <c r="V57" s="1">
        <v>90</v>
      </c>
      <c r="W57" s="4">
        <f t="shared" si="46"/>
        <v>3.2580645161290391</v>
      </c>
      <c r="X57" s="4">
        <f t="shared" si="26"/>
        <v>0</v>
      </c>
      <c r="Y57" s="2" t="b">
        <f>X57&lt;=-$V$128</f>
        <v>0</v>
      </c>
      <c r="Z57" s="1">
        <v>91</v>
      </c>
      <c r="AA57" s="4">
        <f t="shared" si="47"/>
        <v>1.7419354838709609</v>
      </c>
      <c r="AB57" s="4">
        <f t="shared" si="27"/>
        <v>0</v>
      </c>
      <c r="AC57" s="2" t="b">
        <f>AB57&lt;=-$Z$128</f>
        <v>0</v>
      </c>
      <c r="AD57" s="1">
        <v>88</v>
      </c>
      <c r="AE57" s="4">
        <f t="shared" si="48"/>
        <v>2.4193548387096797</v>
      </c>
      <c r="AF57" s="4">
        <f t="shared" si="28"/>
        <v>0</v>
      </c>
      <c r="AG57" s="2" t="b">
        <f>AF57&lt;=-$AD$128</f>
        <v>0</v>
      </c>
      <c r="AH57" s="1">
        <v>82</v>
      </c>
      <c r="AI57" s="4">
        <f t="shared" si="49"/>
        <v>-5.8387096774193594</v>
      </c>
      <c r="AJ57" s="4">
        <f t="shared" si="29"/>
        <v>-64.779917281787178</v>
      </c>
      <c r="AK57" s="2" t="b">
        <f>AJ57&lt;=-$AH$128</f>
        <v>1</v>
      </c>
      <c r="AL57" s="1">
        <v>84</v>
      </c>
      <c r="AM57" s="4">
        <f t="shared" si="50"/>
        <v>-2.9354838709677438</v>
      </c>
      <c r="AN57" s="4">
        <f t="shared" si="30"/>
        <v>-0.73345645715500929</v>
      </c>
      <c r="AO57" s="2" t="b">
        <f>AN57&lt;=-$AL$128</f>
        <v>0</v>
      </c>
      <c r="AP57" s="1">
        <v>85</v>
      </c>
      <c r="AQ57" s="4">
        <f t="shared" si="51"/>
        <v>-5.1935483870967687</v>
      </c>
      <c r="AR57" s="4">
        <f t="shared" si="31"/>
        <v>-17.117653912191692</v>
      </c>
      <c r="AS57" s="2" t="b">
        <f>AR57&lt;=-$AP$128</f>
        <v>0</v>
      </c>
      <c r="AT57" s="1">
        <v>94</v>
      </c>
      <c r="AU57" s="4">
        <f t="shared" si="52"/>
        <v>7.5806451612903203</v>
      </c>
      <c r="AV57" s="4">
        <f t="shared" si="32"/>
        <v>0</v>
      </c>
      <c r="AW57" s="2" t="b">
        <f>AV57&lt;=-$AT$128</f>
        <v>0</v>
      </c>
      <c r="AX57" s="1">
        <v>78</v>
      </c>
      <c r="AY57" s="4">
        <f t="shared" si="53"/>
        <v>-11.161290322580641</v>
      </c>
      <c r="AZ57" s="4">
        <f t="shared" si="33"/>
        <v>-60.190423847847967</v>
      </c>
      <c r="BA57" s="2" t="b">
        <f>AZ57&lt;=-$AX$128</f>
        <v>1</v>
      </c>
      <c r="BB57" s="1">
        <v>87</v>
      </c>
      <c r="BC57" s="4">
        <f t="shared" si="54"/>
        <v>0.35483870967742348</v>
      </c>
      <c r="BD57" s="4">
        <f t="shared" si="34"/>
        <v>-0.39632707010750146</v>
      </c>
      <c r="BE57" s="2" t="b">
        <f>BD57&lt;=-$BB$128</f>
        <v>0</v>
      </c>
      <c r="BF57" s="1">
        <v>89</v>
      </c>
      <c r="BG57" s="4">
        <f t="shared" si="55"/>
        <v>-2.2580645161290391</v>
      </c>
      <c r="BH57" s="4">
        <f t="shared" si="35"/>
        <v>-0.22923997165554955</v>
      </c>
      <c r="BI57" s="2" t="b">
        <f>BH57&lt;=-$BF$128</f>
        <v>0</v>
      </c>
      <c r="BJ57" s="1">
        <v>95</v>
      </c>
      <c r="BK57" s="4">
        <f t="shared" si="56"/>
        <v>3.0645161290322562</v>
      </c>
      <c r="BL57" s="4">
        <f t="shared" si="36"/>
        <v>0</v>
      </c>
      <c r="BM57" s="2" t="b">
        <f>BL57&lt;=-$BJ$128</f>
        <v>0</v>
      </c>
      <c r="BN57" s="1">
        <v>85</v>
      </c>
      <c r="BO57" s="4">
        <f t="shared" si="57"/>
        <v>-9.0967741935483843</v>
      </c>
      <c r="BP57" s="4">
        <f t="shared" si="37"/>
        <v>-104.69231581466977</v>
      </c>
      <c r="BQ57" s="2" t="b">
        <f>BP57&lt;=-$BN$128</f>
        <v>1</v>
      </c>
      <c r="BR57" s="1">
        <v>82</v>
      </c>
      <c r="BS57" s="4">
        <f t="shared" si="58"/>
        <v>-2.7096774193548328</v>
      </c>
      <c r="BT57" s="4">
        <f t="shared" si="38"/>
        <v>-33.495883282127792</v>
      </c>
      <c r="BU57" s="2" t="b">
        <f>BT57&lt;=-$BR$128</f>
        <v>1</v>
      </c>
      <c r="BV57" s="1">
        <v>84</v>
      </c>
      <c r="BW57" s="2">
        <f t="shared" si="59"/>
        <v>-2.6129032258064484</v>
      </c>
      <c r="BX57" s="4">
        <f t="shared" si="39"/>
        <v>-0.82089588135145264</v>
      </c>
      <c r="BY57" s="2" t="b">
        <f>BX57&lt;=-$BV$128</f>
        <v>0</v>
      </c>
      <c r="BZ57" s="1">
        <v>84</v>
      </c>
      <c r="CA57" s="2">
        <f t="shared" si="60"/>
        <v>-6.0645161290322562</v>
      </c>
      <c r="CB57" s="4">
        <f t="shared" si="40"/>
        <v>-4.8559157114019342</v>
      </c>
      <c r="CC57" s="2" t="b">
        <f t="shared" si="61"/>
        <v>0</v>
      </c>
    </row>
    <row r="58" spans="1:81" x14ac:dyDescent="0.2">
      <c r="A58" s="3">
        <v>45895</v>
      </c>
      <c r="B58" s="1">
        <v>88</v>
      </c>
      <c r="C58" s="2">
        <f t="shared" si="41"/>
        <v>-3.1935483870967687</v>
      </c>
      <c r="D58" s="4">
        <f t="shared" si="21"/>
        <v>-26.506868718613632</v>
      </c>
      <c r="E58" s="2" t="b">
        <f>D58&lt;=-$B$128</f>
        <v>1</v>
      </c>
      <c r="F58" s="1">
        <v>87</v>
      </c>
      <c r="G58" s="4">
        <f t="shared" si="42"/>
        <v>-0.25806451612903913</v>
      </c>
      <c r="H58" s="4">
        <f t="shared" si="22"/>
        <v>-15.267549579460422</v>
      </c>
      <c r="I58" s="2" t="b">
        <f>H58&lt;=-$F$128</f>
        <v>0</v>
      </c>
      <c r="J58" s="1">
        <v>91</v>
      </c>
      <c r="K58" s="4">
        <f t="shared" si="43"/>
        <v>1.2903225806451672</v>
      </c>
      <c r="L58" s="4">
        <f t="shared" si="23"/>
        <v>-69.156417168634889</v>
      </c>
      <c r="M58" s="2" t="b">
        <f>L58&lt;=-$J$128</f>
        <v>1</v>
      </c>
      <c r="N58" s="1">
        <v>89</v>
      </c>
      <c r="O58" s="4">
        <f t="shared" si="44"/>
        <v>1.3548387096774235</v>
      </c>
      <c r="P58" s="4">
        <f t="shared" si="24"/>
        <v>-3.2618307729636289</v>
      </c>
      <c r="Q58" s="2" t="b">
        <f>P58&lt;=-$N$128</f>
        <v>0</v>
      </c>
      <c r="R58" s="1">
        <v>90</v>
      </c>
      <c r="S58" s="4">
        <f t="shared" si="45"/>
        <v>-1.7419354838709609</v>
      </c>
      <c r="T58" s="4">
        <f t="shared" si="25"/>
        <v>0</v>
      </c>
      <c r="U58" s="2" t="b">
        <f>T58&lt;=-$R$128</f>
        <v>0</v>
      </c>
      <c r="V58" s="1">
        <v>91</v>
      </c>
      <c r="W58" s="4">
        <f t="shared" si="46"/>
        <v>4.2580645161290391</v>
      </c>
      <c r="X58" s="4">
        <f t="shared" si="26"/>
        <v>0</v>
      </c>
      <c r="Y58" s="2" t="b">
        <f>X58&lt;=-$V$128</f>
        <v>0</v>
      </c>
      <c r="Z58" s="1">
        <v>88</v>
      </c>
      <c r="AA58" s="4">
        <f t="shared" si="47"/>
        <v>-1.2580645161290391</v>
      </c>
      <c r="AB58" s="4">
        <f t="shared" si="27"/>
        <v>0</v>
      </c>
      <c r="AC58" s="2" t="b">
        <f>AB58&lt;=-$Z$128</f>
        <v>0</v>
      </c>
      <c r="AD58" s="1">
        <v>89</v>
      </c>
      <c r="AE58" s="4">
        <f t="shared" si="48"/>
        <v>3.4193548387096797</v>
      </c>
      <c r="AF58" s="4">
        <f t="shared" si="28"/>
        <v>0</v>
      </c>
      <c r="AG58" s="2" t="b">
        <f>AF58&lt;=-$AD$128</f>
        <v>0</v>
      </c>
      <c r="AH58" s="1">
        <v>86</v>
      </c>
      <c r="AI58" s="4">
        <f t="shared" si="49"/>
        <v>-1.8387096774193594</v>
      </c>
      <c r="AJ58" s="4">
        <f t="shared" si="29"/>
        <v>-65.068913145876536</v>
      </c>
      <c r="AK58" s="2" t="b">
        <f>AJ58&lt;=-$AH$128</f>
        <v>1</v>
      </c>
      <c r="AL58" s="1">
        <v>84</v>
      </c>
      <c r="AM58" s="4">
        <f t="shared" si="50"/>
        <v>-2.9354838709677438</v>
      </c>
      <c r="AN58" s="4">
        <f t="shared" si="30"/>
        <v>-1.4669129143100186</v>
      </c>
      <c r="AO58" s="2" t="b">
        <f>AN58&lt;=-$AL$128</f>
        <v>0</v>
      </c>
      <c r="AP58" s="1">
        <v>88</v>
      </c>
      <c r="AQ58" s="4">
        <f t="shared" si="51"/>
        <v>-2.1935483870967687</v>
      </c>
      <c r="AR58" s="4">
        <f t="shared" si="31"/>
        <v>-17.192164173004471</v>
      </c>
      <c r="AS58" s="2" t="b">
        <f>AR58&lt;=-$AP$128</f>
        <v>0</v>
      </c>
      <c r="AT58" s="1">
        <v>92</v>
      </c>
      <c r="AU58" s="4">
        <f t="shared" si="52"/>
        <v>5.5806451612903203</v>
      </c>
      <c r="AV58" s="4">
        <f t="shared" si="32"/>
        <v>0</v>
      </c>
      <c r="AW58" s="2" t="b">
        <f>AV58&lt;=-$AT$128</f>
        <v>0</v>
      </c>
      <c r="AX58" s="1">
        <v>83</v>
      </c>
      <c r="AY58" s="4">
        <f t="shared" si="53"/>
        <v>-6.1612903225806406</v>
      </c>
      <c r="AZ58" s="4">
        <f t="shared" si="33"/>
        <v>-64.978780728283965</v>
      </c>
      <c r="BA58" s="2" t="b">
        <f>AZ58&lt;=-$AX$128</f>
        <v>1</v>
      </c>
      <c r="BB58" s="1">
        <v>90</v>
      </c>
      <c r="BC58" s="4">
        <f t="shared" si="54"/>
        <v>3.3548387096774235</v>
      </c>
      <c r="BD58" s="4">
        <f t="shared" si="34"/>
        <v>0</v>
      </c>
      <c r="BE58" s="2" t="b">
        <f>BD58&lt;=-$BB$128</f>
        <v>0</v>
      </c>
      <c r="BF58" s="1">
        <v>90</v>
      </c>
      <c r="BG58" s="4">
        <f t="shared" si="55"/>
        <v>-1.2580645161290391</v>
      </c>
      <c r="BH58" s="4">
        <f t="shared" si="35"/>
        <v>0</v>
      </c>
      <c r="BI58" s="2" t="b">
        <f>BH58&lt;=-$BF$128</f>
        <v>0</v>
      </c>
      <c r="BJ58" s="1">
        <v>99</v>
      </c>
      <c r="BK58" s="4">
        <f t="shared" si="56"/>
        <v>7.0645161290322562</v>
      </c>
      <c r="BL58" s="4">
        <f t="shared" si="36"/>
        <v>0</v>
      </c>
      <c r="BM58" s="2" t="b">
        <f>BL58&lt;=-$BJ$128</f>
        <v>0</v>
      </c>
      <c r="BN58" s="1">
        <v>90</v>
      </c>
      <c r="BO58" s="4">
        <f t="shared" si="57"/>
        <v>-4.0967741935483843</v>
      </c>
      <c r="BP58" s="4">
        <f t="shared" si="37"/>
        <v>-106.49651198806384</v>
      </c>
      <c r="BQ58" s="2" t="b">
        <f>BP58&lt;=-$BN$128</f>
        <v>1</v>
      </c>
      <c r="BR58" s="1">
        <v>82</v>
      </c>
      <c r="BS58" s="4">
        <f t="shared" si="58"/>
        <v>-2.7096774193548328</v>
      </c>
      <c r="BT58" s="4">
        <f t="shared" si="38"/>
        <v>-34.268236307775773</v>
      </c>
      <c r="BU58" s="2" t="b">
        <f>BT58&lt;=-$BR$128</f>
        <v>1</v>
      </c>
      <c r="BV58" s="1">
        <v>86</v>
      </c>
      <c r="BW58" s="2">
        <f t="shared" si="59"/>
        <v>-0.6129032258064484</v>
      </c>
      <c r="BX58" s="4">
        <f t="shared" si="39"/>
        <v>0</v>
      </c>
      <c r="BY58" s="2" t="b">
        <f>BX58&lt;=-$BV$128</f>
        <v>0</v>
      </c>
      <c r="BZ58" s="1">
        <v>86</v>
      </c>
      <c r="CA58" s="2">
        <f t="shared" si="60"/>
        <v>-4.0645161290322562</v>
      </c>
      <c r="CB58" s="4">
        <f t="shared" si="40"/>
        <v>-7.1412209485359117</v>
      </c>
      <c r="CC58" s="9" t="b">
        <f t="shared" si="61"/>
        <v>0</v>
      </c>
    </row>
    <row r="59" spans="1:81" x14ac:dyDescent="0.2">
      <c r="A59" s="3">
        <v>45896</v>
      </c>
      <c r="B59" s="1">
        <v>84</v>
      </c>
      <c r="C59" s="2">
        <f t="shared" si="41"/>
        <v>-7.1935483870967687</v>
      </c>
      <c r="D59" s="4">
        <f t="shared" si="21"/>
        <v>-31.249501104026166</v>
      </c>
      <c r="E59" s="2" t="b">
        <f>D59&lt;=-$B$128</f>
        <v>1</v>
      </c>
      <c r="F59" s="1">
        <v>90</v>
      </c>
      <c r="G59" s="4">
        <f t="shared" si="42"/>
        <v>2.7419354838709609</v>
      </c>
      <c r="H59" s="4">
        <f t="shared" si="22"/>
        <v>-10.312141176037159</v>
      </c>
      <c r="I59" s="2" t="b">
        <f>H59&lt;=-$F$128</f>
        <v>0</v>
      </c>
      <c r="J59" s="1">
        <v>89</v>
      </c>
      <c r="K59" s="4">
        <f t="shared" si="43"/>
        <v>-0.70967741935483275</v>
      </c>
      <c r="L59" s="4">
        <f t="shared" si="23"/>
        <v>-68.342975264654129</v>
      </c>
      <c r="M59" s="2" t="b">
        <f>L59&lt;=-$J$128</f>
        <v>1</v>
      </c>
      <c r="N59" s="1">
        <v>88</v>
      </c>
      <c r="O59" s="4">
        <f t="shared" si="44"/>
        <v>0.35483870967742348</v>
      </c>
      <c r="P59" s="4">
        <f t="shared" si="24"/>
        <v>-1.5774363951504888E-2</v>
      </c>
      <c r="Q59" s="2" t="b">
        <f>P59&lt;=-$N$128</f>
        <v>0</v>
      </c>
      <c r="R59" s="1">
        <v>90</v>
      </c>
      <c r="S59" s="4">
        <f t="shared" si="45"/>
        <v>-1.7419354838709609</v>
      </c>
      <c r="T59" s="4">
        <f t="shared" si="25"/>
        <v>0</v>
      </c>
      <c r="U59" s="2" t="b">
        <f>T59&lt;=-$R$128</f>
        <v>0</v>
      </c>
      <c r="V59" s="1">
        <v>91</v>
      </c>
      <c r="W59" s="4">
        <f t="shared" si="46"/>
        <v>4.2580645161290391</v>
      </c>
      <c r="X59" s="4">
        <f t="shared" si="26"/>
        <v>0</v>
      </c>
      <c r="Y59" s="2" t="b">
        <f>X59&lt;=-$V$128</f>
        <v>0</v>
      </c>
      <c r="Z59" s="1">
        <v>84</v>
      </c>
      <c r="AA59" s="4">
        <f t="shared" si="47"/>
        <v>-5.2580645161290391</v>
      </c>
      <c r="AB59" s="4">
        <f t="shared" si="27"/>
        <v>-3.3873795171002357</v>
      </c>
      <c r="AC59" s="2" t="b">
        <f>AB59&lt;=-$Z$128</f>
        <v>0</v>
      </c>
      <c r="AD59" s="1">
        <v>90</v>
      </c>
      <c r="AE59" s="4">
        <f t="shared" si="48"/>
        <v>4.4193548387096797</v>
      </c>
      <c r="AF59" s="4">
        <f t="shared" si="28"/>
        <v>0</v>
      </c>
      <c r="AG59" s="2" t="b">
        <f>AF59&lt;=-$AD$128</f>
        <v>0</v>
      </c>
      <c r="AH59" s="1">
        <v>88</v>
      </c>
      <c r="AI59" s="4">
        <f t="shared" si="49"/>
        <v>0.16129032258064058</v>
      </c>
      <c r="AJ59" s="4">
        <f t="shared" si="29"/>
        <v>-63.357909009965894</v>
      </c>
      <c r="AK59" s="2" t="b">
        <f>AJ59&lt;=-$AH$128</f>
        <v>1</v>
      </c>
      <c r="AL59" s="1">
        <v>86</v>
      </c>
      <c r="AM59" s="4">
        <f t="shared" si="50"/>
        <v>-0.93548387096774377</v>
      </c>
      <c r="AN59" s="4">
        <f t="shared" si="30"/>
        <v>-0.20036937146502787</v>
      </c>
      <c r="AO59" s="2" t="b">
        <f>AN59&lt;=-$AL$128</f>
        <v>0</v>
      </c>
      <c r="AP59" s="1">
        <v>88</v>
      </c>
      <c r="AQ59" s="4">
        <f t="shared" si="51"/>
        <v>-2.1935483870967687</v>
      </c>
      <c r="AR59" s="4">
        <f t="shared" si="31"/>
        <v>-17.266674433817251</v>
      </c>
      <c r="AS59" s="2" t="b">
        <f>AR59&lt;=-$AP$128</f>
        <v>0</v>
      </c>
      <c r="AT59" s="1">
        <v>88</v>
      </c>
      <c r="AU59" s="4">
        <f t="shared" si="52"/>
        <v>1.5806451612903203</v>
      </c>
      <c r="AV59" s="4">
        <f t="shared" si="32"/>
        <v>0</v>
      </c>
      <c r="AW59" s="2" t="b">
        <f>AV59&lt;=-$AT$128</f>
        <v>0</v>
      </c>
      <c r="AX59" s="1">
        <v>80</v>
      </c>
      <c r="AY59" s="4">
        <f t="shared" si="53"/>
        <v>-9.1612903225806406</v>
      </c>
      <c r="AZ59" s="4">
        <f t="shared" si="33"/>
        <v>-72.767137608719963</v>
      </c>
      <c r="BA59" s="2" t="b">
        <f>AZ59&lt;=-$AX$128</f>
        <v>1</v>
      </c>
      <c r="BB59" s="1">
        <v>83</v>
      </c>
      <c r="BC59" s="4">
        <f t="shared" si="54"/>
        <v>-3.6451612903225765</v>
      </c>
      <c r="BD59" s="4">
        <f t="shared" si="34"/>
        <v>-1.7987756900358338</v>
      </c>
      <c r="BE59" s="2" t="b">
        <f>BD59&lt;=-$BB$128</f>
        <v>0</v>
      </c>
      <c r="BF59" s="1">
        <v>89</v>
      </c>
      <c r="BG59" s="4">
        <f t="shared" si="55"/>
        <v>-2.2580645161290391</v>
      </c>
      <c r="BH59" s="4">
        <f t="shared" si="35"/>
        <v>-0.22923997165554955</v>
      </c>
      <c r="BI59" s="2" t="b">
        <f>BH59&lt;=-$BF$128</f>
        <v>0</v>
      </c>
      <c r="BJ59" s="1">
        <v>95</v>
      </c>
      <c r="BK59" s="4">
        <f t="shared" si="56"/>
        <v>3.0645161290322562</v>
      </c>
      <c r="BL59" s="4">
        <f t="shared" si="36"/>
        <v>0</v>
      </c>
      <c r="BM59" s="2" t="b">
        <f>BL59&lt;=-$BJ$128</f>
        <v>0</v>
      </c>
      <c r="BN59" s="1">
        <v>90</v>
      </c>
      <c r="BO59" s="4">
        <f t="shared" si="57"/>
        <v>-4.0967741935483843</v>
      </c>
      <c r="BP59" s="4">
        <f t="shared" si="37"/>
        <v>-108.30070816145792</v>
      </c>
      <c r="BQ59" s="2" t="b">
        <f>BP59&lt;=-$BN$128</f>
        <v>1</v>
      </c>
      <c r="BR59" s="1">
        <v>86</v>
      </c>
      <c r="BS59" s="4">
        <f t="shared" si="58"/>
        <v>1.2903225806451672</v>
      </c>
      <c r="BT59" s="4">
        <f t="shared" si="38"/>
        <v>-31.040589333423757</v>
      </c>
      <c r="BU59" s="2" t="b">
        <f>BT59&lt;=-$BR$128</f>
        <v>1</v>
      </c>
      <c r="BV59" s="1">
        <v>88</v>
      </c>
      <c r="BW59" s="2">
        <f t="shared" si="59"/>
        <v>1.3870967741935516</v>
      </c>
      <c r="BX59" s="4">
        <f t="shared" si="39"/>
        <v>0</v>
      </c>
      <c r="BY59" s="2" t="b">
        <f>BX59&lt;=-$BV$128</f>
        <v>0</v>
      </c>
      <c r="BZ59" s="1">
        <v>85</v>
      </c>
      <c r="CA59" s="2">
        <f t="shared" si="60"/>
        <v>-5.0645161290322562</v>
      </c>
      <c r="CB59" s="4">
        <f t="shared" si="40"/>
        <v>-10.426526185669889</v>
      </c>
      <c r="CC59" s="2" t="b">
        <f t="shared" si="61"/>
        <v>0</v>
      </c>
    </row>
    <row r="60" spans="1:81" x14ac:dyDescent="0.2">
      <c r="A60" s="3">
        <v>45897</v>
      </c>
      <c r="B60" s="1">
        <v>86</v>
      </c>
      <c r="C60" s="2">
        <f t="shared" si="41"/>
        <v>-5.1935483870967687</v>
      </c>
      <c r="D60" s="4">
        <f t="shared" si="21"/>
        <v>-33.9921334894387</v>
      </c>
      <c r="E60" s="2" t="b">
        <f>D60&lt;=-$B$128</f>
        <v>1</v>
      </c>
      <c r="F60" s="1">
        <v>90</v>
      </c>
      <c r="G60" s="4">
        <f t="shared" si="42"/>
        <v>2.7419354838709609</v>
      </c>
      <c r="H60" s="4">
        <f t="shared" si="22"/>
        <v>-5.3567327726138947</v>
      </c>
      <c r="I60" s="2" t="b">
        <f>H60&lt;=-$F$128</f>
        <v>0</v>
      </c>
      <c r="J60" s="1">
        <v>90</v>
      </c>
      <c r="K60" s="4">
        <f t="shared" si="43"/>
        <v>0.29032258064516725</v>
      </c>
      <c r="L60" s="4">
        <f t="shared" si="23"/>
        <v>-66.529533360673369</v>
      </c>
      <c r="M60" s="2" t="b">
        <f>L60&lt;=-$J$128</f>
        <v>1</v>
      </c>
      <c r="N60" s="1">
        <v>90</v>
      </c>
      <c r="O60" s="4">
        <f t="shared" si="44"/>
        <v>2.3548387096774235</v>
      </c>
      <c r="P60" s="4">
        <f t="shared" si="24"/>
        <v>0</v>
      </c>
      <c r="Q60" s="2" t="b">
        <f>P60&lt;=-$N$128</f>
        <v>0</v>
      </c>
      <c r="R60" s="1">
        <v>92</v>
      </c>
      <c r="S60" s="4">
        <f t="shared" si="45"/>
        <v>0.25806451612903913</v>
      </c>
      <c r="T60" s="4">
        <f t="shared" si="25"/>
        <v>0</v>
      </c>
      <c r="U60" s="2" t="b">
        <f>T60&lt;=-$R$128</f>
        <v>0</v>
      </c>
      <c r="V60" s="1">
        <v>81</v>
      </c>
      <c r="W60" s="4">
        <f t="shared" si="46"/>
        <v>-5.7419354838709609</v>
      </c>
      <c r="X60" s="4">
        <f t="shared" si="26"/>
        <v>-4.4383011925179758</v>
      </c>
      <c r="Y60" s="2" t="b">
        <f>X60&lt;=-$V$128</f>
        <v>0</v>
      </c>
      <c r="Z60" s="1">
        <v>82</v>
      </c>
      <c r="AA60" s="4">
        <f t="shared" si="47"/>
        <v>-7.2580645161290391</v>
      </c>
      <c r="AB60" s="4">
        <f t="shared" si="27"/>
        <v>-8.7747590342004713</v>
      </c>
      <c r="AC60" s="2" t="b">
        <f>AB60&lt;=-$Z$128</f>
        <v>0</v>
      </c>
      <c r="AD60" s="1">
        <v>91</v>
      </c>
      <c r="AE60" s="4">
        <f t="shared" si="48"/>
        <v>5.4193548387096797</v>
      </c>
      <c r="AF60" s="4">
        <f t="shared" si="28"/>
        <v>0</v>
      </c>
      <c r="AG60" s="2" t="b">
        <f>AF60&lt;=-$AD$128</f>
        <v>0</v>
      </c>
      <c r="AH60" s="1">
        <v>90</v>
      </c>
      <c r="AI60" s="4">
        <f t="shared" si="49"/>
        <v>2.1612903225806406</v>
      </c>
      <c r="AJ60" s="4">
        <f t="shared" si="29"/>
        <v>-59.646904874055252</v>
      </c>
      <c r="AK60" s="2" t="b">
        <f>AJ60&lt;=-$AH$128</f>
        <v>1</v>
      </c>
      <c r="AL60" s="1">
        <v>86</v>
      </c>
      <c r="AM60" s="4">
        <f t="shared" si="50"/>
        <v>-0.93548387096774377</v>
      </c>
      <c r="AN60" s="4">
        <f t="shared" si="30"/>
        <v>0</v>
      </c>
      <c r="AO60" s="2" t="b">
        <f>AN60&lt;=-$AL$128</f>
        <v>0</v>
      </c>
      <c r="AP60" s="1">
        <v>90</v>
      </c>
      <c r="AQ60" s="4">
        <f t="shared" si="51"/>
        <v>-0.19354838709676869</v>
      </c>
      <c r="AR60" s="4">
        <f t="shared" si="31"/>
        <v>-15.34118469463003</v>
      </c>
      <c r="AS60" s="2" t="b">
        <f>AR60&lt;=-$AP$128</f>
        <v>0</v>
      </c>
      <c r="AT60" s="1">
        <v>88</v>
      </c>
      <c r="AU60" s="4">
        <f t="shared" si="52"/>
        <v>1.5806451612903203</v>
      </c>
      <c r="AV60" s="4">
        <f t="shared" si="32"/>
        <v>0</v>
      </c>
      <c r="AW60" s="2" t="b">
        <f>AV60&lt;=-$AT$128</f>
        <v>0</v>
      </c>
      <c r="AX60" s="1">
        <v>86</v>
      </c>
      <c r="AY60" s="4">
        <f t="shared" si="53"/>
        <v>-3.1612903225806406</v>
      </c>
      <c r="AZ60" s="4">
        <f t="shared" si="33"/>
        <v>-74.555494489155961</v>
      </c>
      <c r="BA60" s="2" t="b">
        <f>AZ60&lt;=-$AX$128</f>
        <v>1</v>
      </c>
      <c r="BB60" s="1">
        <v>75</v>
      </c>
      <c r="BC60" s="4">
        <f t="shared" si="54"/>
        <v>-11.645161290322577</v>
      </c>
      <c r="BD60" s="4">
        <f t="shared" si="34"/>
        <v>-11.597551380071668</v>
      </c>
      <c r="BE60" s="9" t="b">
        <f>BD60&lt;=-$BB$128</f>
        <v>0</v>
      </c>
      <c r="BF60" s="1">
        <v>87</v>
      </c>
      <c r="BG60" s="4">
        <f t="shared" si="55"/>
        <v>-4.2580645161290391</v>
      </c>
      <c r="BH60" s="4">
        <f t="shared" si="35"/>
        <v>-2.4584799433110991</v>
      </c>
      <c r="BI60" s="2" t="b">
        <f>BH60&lt;=-$BF$128</f>
        <v>0</v>
      </c>
      <c r="BJ60" s="1">
        <v>95</v>
      </c>
      <c r="BK60" s="4">
        <f t="shared" si="56"/>
        <v>3.0645161290322562</v>
      </c>
      <c r="BL60" s="4">
        <f t="shared" si="36"/>
        <v>0</v>
      </c>
      <c r="BM60" s="2" t="b">
        <f>BL60&lt;=-$BJ$128</f>
        <v>0</v>
      </c>
      <c r="BN60" s="1">
        <v>80</v>
      </c>
      <c r="BO60" s="4">
        <f t="shared" si="57"/>
        <v>-14.096774193548384</v>
      </c>
      <c r="BP60" s="4">
        <f t="shared" si="37"/>
        <v>-120.10490433485199</v>
      </c>
      <c r="BQ60" s="2" t="b">
        <f>BP60&lt;=-$BN$128</f>
        <v>1</v>
      </c>
      <c r="BR60" s="1">
        <v>90</v>
      </c>
      <c r="BS60" s="4">
        <f t="shared" si="58"/>
        <v>5.2903225806451672</v>
      </c>
      <c r="BT60" s="4">
        <f t="shared" si="38"/>
        <v>-23.812942359071741</v>
      </c>
      <c r="BU60" s="2" t="b">
        <f>BT60&lt;=-$BR$128</f>
        <v>1</v>
      </c>
      <c r="BV60" s="1">
        <v>91</v>
      </c>
      <c r="BW60" s="2">
        <f t="shared" si="59"/>
        <v>4.3870967741935516</v>
      </c>
      <c r="BX60" s="4">
        <f t="shared" si="39"/>
        <v>0</v>
      </c>
      <c r="BY60" s="2" t="b">
        <f>BX60&lt;=-$BV$128</f>
        <v>0</v>
      </c>
      <c r="BZ60" s="1">
        <v>83</v>
      </c>
      <c r="CA60" s="2">
        <f t="shared" si="60"/>
        <v>-7.0645161290322562</v>
      </c>
      <c r="CB60" s="4">
        <f t="shared" si="40"/>
        <v>-15.711831422803867</v>
      </c>
      <c r="CC60" s="2" t="b">
        <f t="shared" si="61"/>
        <v>0</v>
      </c>
    </row>
    <row r="61" spans="1:81" x14ac:dyDescent="0.2">
      <c r="A61" s="3">
        <v>45898</v>
      </c>
      <c r="B61" s="1">
        <v>88</v>
      </c>
      <c r="C61" s="2">
        <f t="shared" si="41"/>
        <v>-3.1935483870967687</v>
      </c>
      <c r="D61" s="4">
        <f t="shared" si="21"/>
        <v>-34.734765874851234</v>
      </c>
      <c r="E61" s="2" t="b">
        <f>D61&lt;=-$B$128</f>
        <v>1</v>
      </c>
      <c r="F61" s="1">
        <v>91</v>
      </c>
      <c r="G61" s="4">
        <f t="shared" si="42"/>
        <v>3.7419354838709609</v>
      </c>
      <c r="H61" s="4">
        <f t="shared" si="22"/>
        <v>0</v>
      </c>
      <c r="I61" s="2" t="b">
        <f>H61&lt;=-$F$128</f>
        <v>0</v>
      </c>
      <c r="J61" s="1">
        <v>93</v>
      </c>
      <c r="K61" s="4">
        <f t="shared" si="43"/>
        <v>3.2903225806451672</v>
      </c>
      <c r="L61" s="4">
        <f t="shared" si="23"/>
        <v>-61.71609145669261</v>
      </c>
      <c r="M61" s="2" t="b">
        <f>L61&lt;=-$J$128</f>
        <v>1</v>
      </c>
      <c r="N61" s="1">
        <v>91</v>
      </c>
      <c r="O61" s="4">
        <f t="shared" si="44"/>
        <v>3.3548387096774235</v>
      </c>
      <c r="P61" s="4">
        <f t="shared" si="24"/>
        <v>0</v>
      </c>
      <c r="Q61" s="2" t="b">
        <f>P61&lt;=-$N$128</f>
        <v>0</v>
      </c>
      <c r="R61" s="1">
        <v>92</v>
      </c>
      <c r="S61" s="4">
        <f t="shared" si="45"/>
        <v>0.25806451612903913</v>
      </c>
      <c r="T61" s="4">
        <f t="shared" si="25"/>
        <v>0</v>
      </c>
      <c r="U61" s="2" t="b">
        <f>T61&lt;=-$R$128</f>
        <v>0</v>
      </c>
      <c r="V61" s="1">
        <v>86</v>
      </c>
      <c r="W61" s="4">
        <f t="shared" si="46"/>
        <v>-0.74193548387096087</v>
      </c>
      <c r="X61" s="4">
        <f t="shared" si="26"/>
        <v>-3.8766023850359517</v>
      </c>
      <c r="Y61" s="2" t="b">
        <f>X61&lt;=-$V$128</f>
        <v>0</v>
      </c>
      <c r="Z61" s="1">
        <v>82</v>
      </c>
      <c r="AA61" s="4">
        <f t="shared" si="47"/>
        <v>-7.2580645161290391</v>
      </c>
      <c r="AB61" s="4">
        <f t="shared" si="27"/>
        <v>-14.162138551300707</v>
      </c>
      <c r="AC61" s="9" t="b">
        <f>AB61&lt;=-$Z$128</f>
        <v>0</v>
      </c>
      <c r="AD61" s="1">
        <v>89</v>
      </c>
      <c r="AE61" s="4">
        <f t="shared" si="48"/>
        <v>3.4193548387096797</v>
      </c>
      <c r="AF61" s="4">
        <f t="shared" si="28"/>
        <v>0</v>
      </c>
      <c r="AG61" s="2" t="b">
        <f>AF61&lt;=-$AD$128</f>
        <v>0</v>
      </c>
      <c r="AH61" s="1">
        <v>87</v>
      </c>
      <c r="AI61" s="4">
        <f t="shared" si="49"/>
        <v>-0.83870967741935942</v>
      </c>
      <c r="AJ61" s="4">
        <f t="shared" si="29"/>
        <v>-58.935900738144611</v>
      </c>
      <c r="AK61" s="2" t="b">
        <f>AJ61&lt;=-$AH$128</f>
        <v>1</v>
      </c>
      <c r="AL61" s="1">
        <v>85</v>
      </c>
      <c r="AM61" s="4">
        <f t="shared" si="50"/>
        <v>-1.9354838709677438</v>
      </c>
      <c r="AN61" s="4">
        <f t="shared" si="30"/>
        <v>0</v>
      </c>
      <c r="AO61" s="2" t="b">
        <f>AN61&lt;=-$AL$128</f>
        <v>0</v>
      </c>
      <c r="AP61" s="1">
        <v>90</v>
      </c>
      <c r="AQ61" s="4">
        <f t="shared" si="51"/>
        <v>-0.19354838709676869</v>
      </c>
      <c r="AR61" s="4">
        <f t="shared" si="31"/>
        <v>-13.41569495544281</v>
      </c>
      <c r="AS61" s="2" t="b">
        <f>AR61&lt;=-$AP$128</f>
        <v>0</v>
      </c>
      <c r="AT61" s="1">
        <v>89</v>
      </c>
      <c r="AU61" s="4">
        <f t="shared" si="52"/>
        <v>2.5806451612903203</v>
      </c>
      <c r="AV61" s="4">
        <f t="shared" si="32"/>
        <v>0</v>
      </c>
      <c r="AW61" s="2" t="b">
        <f>AV61&lt;=-$AT$128</f>
        <v>0</v>
      </c>
      <c r="AX61" s="1">
        <v>89</v>
      </c>
      <c r="AY61" s="4">
        <f t="shared" si="53"/>
        <v>-0.16129032258064058</v>
      </c>
      <c r="AZ61" s="4">
        <f t="shared" si="33"/>
        <v>-73.34385136959196</v>
      </c>
      <c r="BA61" s="2" t="b">
        <f>AZ61&lt;=-$AX$128</f>
        <v>1</v>
      </c>
      <c r="BB61" s="1">
        <v>86</v>
      </c>
      <c r="BC61" s="4">
        <f t="shared" si="54"/>
        <v>-0.64516129032257652</v>
      </c>
      <c r="BD61" s="4">
        <f t="shared" si="34"/>
        <v>-10.396327070107501</v>
      </c>
      <c r="BE61" s="2" t="b">
        <f>BD61&lt;=-$BB$128</f>
        <v>0</v>
      </c>
      <c r="BF61" s="1">
        <v>84</v>
      </c>
      <c r="BG61" s="4">
        <f t="shared" si="55"/>
        <v>-7.2580645161290391</v>
      </c>
      <c r="BH61" s="4">
        <f t="shared" si="35"/>
        <v>-7.6877199149666486</v>
      </c>
      <c r="BI61" s="2" t="b">
        <f>BH61&lt;=-$BF$128</f>
        <v>0</v>
      </c>
      <c r="BJ61" s="1">
        <v>93</v>
      </c>
      <c r="BK61" s="4">
        <f t="shared" si="56"/>
        <v>1.0645161290322562</v>
      </c>
      <c r="BL61" s="4">
        <f t="shared" si="36"/>
        <v>0</v>
      </c>
      <c r="BM61" s="2" t="b">
        <f>BL61&lt;=-$BJ$128</f>
        <v>0</v>
      </c>
      <c r="BN61" s="1">
        <v>86</v>
      </c>
      <c r="BO61" s="4">
        <f t="shared" si="57"/>
        <v>-8.0967741935483843</v>
      </c>
      <c r="BP61" s="4">
        <f t="shared" si="37"/>
        <v>-125.90910050824607</v>
      </c>
      <c r="BQ61" s="2" t="b">
        <f>BP61&lt;=-$BN$128</f>
        <v>1</v>
      </c>
      <c r="BR61" s="1">
        <v>92</v>
      </c>
      <c r="BS61" s="4">
        <f t="shared" si="58"/>
        <v>7.2903225806451672</v>
      </c>
      <c r="BT61" s="4">
        <f t="shared" si="38"/>
        <v>-14.585295384719725</v>
      </c>
      <c r="BU61" s="2" t="b">
        <f>BT61&lt;=-$BR$128</f>
        <v>0</v>
      </c>
      <c r="BV61" s="1">
        <v>92</v>
      </c>
      <c r="BW61" s="2">
        <f t="shared" si="59"/>
        <v>5.3870967741935516</v>
      </c>
      <c r="BX61" s="4">
        <f t="shared" si="39"/>
        <v>0</v>
      </c>
      <c r="BY61" s="2" t="b">
        <f>BX61&lt;=-$BV$128</f>
        <v>0</v>
      </c>
      <c r="BZ61" s="1">
        <v>81</v>
      </c>
      <c r="CA61" s="2">
        <f t="shared" si="60"/>
        <v>-9.0645161290322562</v>
      </c>
      <c r="CB61" s="4">
        <f t="shared" si="40"/>
        <v>-22.997136659937848</v>
      </c>
      <c r="CC61" s="8" t="b">
        <f t="shared" si="61"/>
        <v>1</v>
      </c>
    </row>
    <row r="62" spans="1:81" x14ac:dyDescent="0.2">
      <c r="A62" s="3">
        <v>45899</v>
      </c>
      <c r="B62" s="1">
        <v>84</v>
      </c>
      <c r="C62" s="2">
        <f t="shared" si="41"/>
        <v>-7.1935483870967687</v>
      </c>
      <c r="D62" s="4">
        <f t="shared" si="21"/>
        <v>-39.477398260263769</v>
      </c>
      <c r="E62" s="2" t="b">
        <f>D62&lt;=-$B$128</f>
        <v>1</v>
      </c>
      <c r="F62" s="1">
        <v>91</v>
      </c>
      <c r="G62" s="4">
        <f t="shared" si="42"/>
        <v>3.7419354838709609</v>
      </c>
      <c r="H62" s="4">
        <f t="shared" si="22"/>
        <v>0</v>
      </c>
      <c r="I62" s="2" t="b">
        <f>H62&lt;=-$F$128</f>
        <v>0</v>
      </c>
      <c r="J62" s="1">
        <v>93</v>
      </c>
      <c r="K62" s="4">
        <f t="shared" si="43"/>
        <v>3.2903225806451672</v>
      </c>
      <c r="L62" s="4">
        <f t="shared" si="23"/>
        <v>-56.90264955271185</v>
      </c>
      <c r="M62" s="2" t="b">
        <f>L62&lt;=-$J$128</f>
        <v>1</v>
      </c>
      <c r="N62" s="1">
        <v>91</v>
      </c>
      <c r="O62" s="4">
        <f t="shared" si="44"/>
        <v>3.3548387096774235</v>
      </c>
      <c r="P62" s="4">
        <f t="shared" si="24"/>
        <v>0</v>
      </c>
      <c r="Q62" s="2" t="b">
        <f>P62&lt;=-$N$128</f>
        <v>0</v>
      </c>
      <c r="R62" s="1">
        <v>88</v>
      </c>
      <c r="S62" s="4">
        <f t="shared" si="45"/>
        <v>-3.7419354838709609</v>
      </c>
      <c r="T62" s="4">
        <f t="shared" si="25"/>
        <v>-0.98824782930214061</v>
      </c>
      <c r="U62" s="2" t="b">
        <f>T62&lt;=-$R$128</f>
        <v>0</v>
      </c>
      <c r="V62" s="1">
        <v>81</v>
      </c>
      <c r="W62" s="4">
        <f t="shared" si="46"/>
        <v>-5.7419354838709609</v>
      </c>
      <c r="X62" s="4">
        <f t="shared" si="26"/>
        <v>-8.3149035775539275</v>
      </c>
      <c r="Y62" s="2" t="b">
        <f>X62&lt;=-$V$128</f>
        <v>0</v>
      </c>
      <c r="Z62" s="1">
        <v>78</v>
      </c>
      <c r="AA62" s="4">
        <f t="shared" si="47"/>
        <v>-11.258064516129039</v>
      </c>
      <c r="AB62" s="4">
        <f t="shared" si="27"/>
        <v>-23.549518068400943</v>
      </c>
      <c r="AC62" s="8" t="b">
        <f>AB62&lt;=-$Z$128</f>
        <v>1</v>
      </c>
      <c r="AD62" s="1">
        <v>88</v>
      </c>
      <c r="AE62" s="4">
        <f t="shared" si="48"/>
        <v>2.4193548387096797</v>
      </c>
      <c r="AF62" s="4">
        <f t="shared" si="28"/>
        <v>0</v>
      </c>
      <c r="AG62" s="2" t="b">
        <f>AF62&lt;=-$AD$128</f>
        <v>0</v>
      </c>
      <c r="AH62" s="1">
        <v>88</v>
      </c>
      <c r="AI62" s="4">
        <f t="shared" si="49"/>
        <v>0.16129032258064058</v>
      </c>
      <c r="AJ62" s="4">
        <f t="shared" si="29"/>
        <v>-57.224896602233969</v>
      </c>
      <c r="AK62" s="2" t="b">
        <f>AJ62&lt;=-$AH$128</f>
        <v>1</v>
      </c>
      <c r="AL62" s="1">
        <v>85</v>
      </c>
      <c r="AM62" s="4">
        <f t="shared" si="50"/>
        <v>-1.9354838709677438</v>
      </c>
      <c r="AN62" s="4">
        <f t="shared" si="30"/>
        <v>0</v>
      </c>
      <c r="AO62" s="2" t="b">
        <f>AN62&lt;=-$AL$128</f>
        <v>0</v>
      </c>
      <c r="AP62" s="1">
        <v>88</v>
      </c>
      <c r="AQ62" s="4">
        <f t="shared" si="51"/>
        <v>-2.1935483870967687</v>
      </c>
      <c r="AR62" s="4">
        <f t="shared" si="31"/>
        <v>-13.490205216255589</v>
      </c>
      <c r="AS62" s="2" t="b">
        <f>AR62&lt;=-$AP$128</f>
        <v>0</v>
      </c>
      <c r="AT62" s="1">
        <v>89</v>
      </c>
      <c r="AU62" s="4">
        <f t="shared" si="52"/>
        <v>2.5806451612903203</v>
      </c>
      <c r="AV62" s="4">
        <f t="shared" si="32"/>
        <v>0</v>
      </c>
      <c r="AW62" s="2" t="b">
        <f>AV62&lt;=-$AT$128</f>
        <v>0</v>
      </c>
      <c r="AX62" s="1">
        <v>89</v>
      </c>
      <c r="AY62" s="4">
        <f t="shared" si="53"/>
        <v>-0.16129032258064058</v>
      </c>
      <c r="AZ62" s="4">
        <f t="shared" si="33"/>
        <v>-72.132208250027958</v>
      </c>
      <c r="BA62" s="2" t="b">
        <f>AZ62&lt;=-$AX$128</f>
        <v>1</v>
      </c>
      <c r="BB62" s="1">
        <v>79</v>
      </c>
      <c r="BC62" s="4">
        <f t="shared" si="54"/>
        <v>-7.6451612903225765</v>
      </c>
      <c r="BD62" s="4">
        <f t="shared" si="34"/>
        <v>-16.195102760143335</v>
      </c>
      <c r="BE62" s="2" t="b">
        <f>BD62&lt;=-$BB$128</f>
        <v>0</v>
      </c>
      <c r="BF62" s="1">
        <v>85</v>
      </c>
      <c r="BG62" s="4">
        <f t="shared" si="55"/>
        <v>-6.2580645161290391</v>
      </c>
      <c r="BH62" s="4">
        <f t="shared" si="35"/>
        <v>-11.916959886622198</v>
      </c>
      <c r="BI62" s="9" t="b">
        <f>BH62&lt;=-$BF$128</f>
        <v>0</v>
      </c>
      <c r="BJ62" s="1">
        <v>90</v>
      </c>
      <c r="BK62" s="4">
        <f t="shared" si="56"/>
        <v>-1.9354838709677438</v>
      </c>
      <c r="BL62" s="4">
        <f t="shared" si="36"/>
        <v>-0.19893804725635511</v>
      </c>
      <c r="BM62" s="2" t="b">
        <f>BL62&lt;=-$BJ$128</f>
        <v>0</v>
      </c>
      <c r="BN62" s="1">
        <v>80</v>
      </c>
      <c r="BO62" s="4">
        <f t="shared" si="57"/>
        <v>-14.096774193548384</v>
      </c>
      <c r="BP62" s="4">
        <f t="shared" si="37"/>
        <v>-137.71329668164014</v>
      </c>
      <c r="BQ62" s="2" t="b">
        <f>BP62&lt;=-$BN$128</f>
        <v>1</v>
      </c>
      <c r="BR62" s="1">
        <v>87</v>
      </c>
      <c r="BS62" s="4">
        <f t="shared" si="58"/>
        <v>2.2903225806451672</v>
      </c>
      <c r="BT62" s="4">
        <f t="shared" si="38"/>
        <v>-10.357648410367709</v>
      </c>
      <c r="BU62" s="2" t="b">
        <f>BT62&lt;=-$BR$128</f>
        <v>0</v>
      </c>
      <c r="BV62" s="1">
        <v>88</v>
      </c>
      <c r="BW62" s="2">
        <f t="shared" si="59"/>
        <v>1.3870967741935516</v>
      </c>
      <c r="BX62" s="4">
        <f t="shared" si="39"/>
        <v>0</v>
      </c>
      <c r="BY62" s="2" t="b">
        <f>BX62&lt;=-$BV$128</f>
        <v>0</v>
      </c>
      <c r="BZ62" s="1">
        <v>74</v>
      </c>
      <c r="CA62" s="2">
        <f t="shared" si="60"/>
        <v>-16.064516129032256</v>
      </c>
      <c r="CB62" s="4">
        <f t="shared" si="40"/>
        <v>-37.282441897071827</v>
      </c>
      <c r="CC62" s="2" t="b">
        <f t="shared" si="61"/>
        <v>1</v>
      </c>
    </row>
    <row r="63" spans="1:81" x14ac:dyDescent="0.2">
      <c r="A63" s="3">
        <v>45900</v>
      </c>
      <c r="B63" s="1">
        <v>82</v>
      </c>
      <c r="C63" s="2">
        <f t="shared" si="41"/>
        <v>-9.1935483870967687</v>
      </c>
      <c r="D63" s="4">
        <f t="shared" si="21"/>
        <v>-46.220030645676303</v>
      </c>
      <c r="E63" s="2" t="b">
        <f>D63&lt;=-$B$128</f>
        <v>1</v>
      </c>
      <c r="F63" s="1">
        <v>88</v>
      </c>
      <c r="G63" s="4">
        <f t="shared" si="42"/>
        <v>0.74193548387096087</v>
      </c>
      <c r="H63" s="4">
        <f t="shared" si="22"/>
        <v>0</v>
      </c>
      <c r="I63" s="2" t="b">
        <f>H63&lt;=-$F$128</f>
        <v>0</v>
      </c>
      <c r="J63" s="1">
        <v>91</v>
      </c>
      <c r="K63" s="4">
        <f t="shared" si="43"/>
        <v>1.2903225806451672</v>
      </c>
      <c r="L63" s="4">
        <f t="shared" si="23"/>
        <v>-54.08920764873109</v>
      </c>
      <c r="M63" s="2" t="b">
        <f>L63&lt;=-$J$128</f>
        <v>1</v>
      </c>
      <c r="N63" s="1">
        <v>84</v>
      </c>
      <c r="O63" s="4">
        <f t="shared" si="44"/>
        <v>-3.6451612903225765</v>
      </c>
      <c r="P63" s="4">
        <f t="shared" si="24"/>
        <v>-0.753943590987876</v>
      </c>
      <c r="Q63" s="2" t="b">
        <f>P63&lt;=-$N$128</f>
        <v>0</v>
      </c>
      <c r="R63" s="1">
        <v>87</v>
      </c>
      <c r="S63" s="4">
        <f t="shared" si="45"/>
        <v>-4.7419354838709609</v>
      </c>
      <c r="T63" s="4">
        <f t="shared" si="25"/>
        <v>-2.9764956586042817</v>
      </c>
      <c r="U63" s="2" t="b">
        <f>T63&lt;=-$R$128</f>
        <v>0</v>
      </c>
      <c r="V63" s="1">
        <v>82</v>
      </c>
      <c r="W63" s="4">
        <f t="shared" si="46"/>
        <v>-4.7419354838709609</v>
      </c>
      <c r="X63" s="4">
        <f t="shared" si="26"/>
        <v>-11.753204770071903</v>
      </c>
      <c r="Y63" s="2" t="b">
        <f>X63&lt;=-$V$128</f>
        <v>0</v>
      </c>
      <c r="Z63" s="1">
        <v>77</v>
      </c>
      <c r="AA63" s="4">
        <f t="shared" si="47"/>
        <v>-12.258064516129039</v>
      </c>
      <c r="AB63" s="4">
        <f t="shared" si="27"/>
        <v>-33.936897585501178</v>
      </c>
      <c r="AC63" s="2" t="b">
        <f>AB63&lt;=-$Z$128</f>
        <v>1</v>
      </c>
      <c r="AD63" s="1">
        <v>89</v>
      </c>
      <c r="AE63" s="4">
        <f t="shared" si="48"/>
        <v>3.4193548387096797</v>
      </c>
      <c r="AF63" s="4">
        <f t="shared" si="28"/>
        <v>0</v>
      </c>
      <c r="AG63" s="2" t="b">
        <f>AF63&lt;=-$AD$128</f>
        <v>0</v>
      </c>
      <c r="AH63" s="1">
        <v>87</v>
      </c>
      <c r="AI63" s="4">
        <f t="shared" si="49"/>
        <v>-0.83870967741935942</v>
      </c>
      <c r="AJ63" s="4">
        <f t="shared" si="29"/>
        <v>-56.513892466323327</v>
      </c>
      <c r="AK63" s="2" t="b">
        <f>AJ63&lt;=-$AH$128</f>
        <v>1</v>
      </c>
      <c r="AL63" s="1">
        <v>85</v>
      </c>
      <c r="AM63" s="4">
        <f t="shared" si="50"/>
        <v>-1.9354838709677438</v>
      </c>
      <c r="AN63" s="4">
        <f t="shared" si="30"/>
        <v>0</v>
      </c>
      <c r="AO63" s="2" t="b">
        <f>AN63&lt;=-$AL$128</f>
        <v>0</v>
      </c>
      <c r="AP63" s="1">
        <v>80</v>
      </c>
      <c r="AQ63" s="4">
        <f t="shared" si="51"/>
        <v>-10.193548387096769</v>
      </c>
      <c r="AR63" s="4">
        <f t="shared" si="31"/>
        <v>-21.564715477068368</v>
      </c>
      <c r="AS63" s="8" t="b">
        <f>AR63&lt;=-$AP$128</f>
        <v>1</v>
      </c>
      <c r="AT63" s="1">
        <v>86</v>
      </c>
      <c r="AU63" s="4">
        <f t="shared" si="52"/>
        <v>-0.41935483870967971</v>
      </c>
      <c r="AV63" s="4">
        <f t="shared" si="32"/>
        <v>0</v>
      </c>
      <c r="AW63" s="2" t="b">
        <f>AV63&lt;=-$AT$128</f>
        <v>0</v>
      </c>
      <c r="AX63" s="1">
        <v>88</v>
      </c>
      <c r="AY63" s="4">
        <f t="shared" si="53"/>
        <v>-1.1612903225806406</v>
      </c>
      <c r="AZ63" s="4">
        <f t="shared" si="33"/>
        <v>-71.920565130463956</v>
      </c>
      <c r="BA63" s="2" t="b">
        <f>AZ63&lt;=-$AX$128</f>
        <v>1</v>
      </c>
      <c r="BB63" s="1">
        <v>79</v>
      </c>
      <c r="BC63" s="4">
        <f t="shared" si="54"/>
        <v>-7.6451612903225765</v>
      </c>
      <c r="BD63" s="4">
        <f t="shared" si="34"/>
        <v>-21.993878450179167</v>
      </c>
      <c r="BE63" s="8" t="b">
        <f>BD63&lt;=-$BB$128</f>
        <v>1</v>
      </c>
      <c r="BF63" s="1">
        <v>89</v>
      </c>
      <c r="BG63" s="4">
        <f t="shared" si="55"/>
        <v>-2.2580645161290391</v>
      </c>
      <c r="BH63" s="4">
        <f t="shared" si="35"/>
        <v>-12.146199858277747</v>
      </c>
      <c r="BI63" s="2" t="b">
        <f>BH63&lt;=-$BF$128</f>
        <v>0</v>
      </c>
      <c r="BJ63" s="1">
        <v>92</v>
      </c>
      <c r="BK63" s="4">
        <f t="shared" si="56"/>
        <v>6.4516129032256231E-2</v>
      </c>
      <c r="BL63" s="4">
        <f t="shared" si="36"/>
        <v>0</v>
      </c>
      <c r="BM63" s="2" t="b">
        <f>BL63&lt;=-$BJ$128</f>
        <v>0</v>
      </c>
      <c r="BN63" s="1">
        <v>89</v>
      </c>
      <c r="BO63" s="4">
        <f t="shared" si="57"/>
        <v>-5.0967741935483843</v>
      </c>
      <c r="BP63" s="4">
        <f t="shared" si="37"/>
        <v>-140.51749285503422</v>
      </c>
      <c r="BQ63" s="2" t="b">
        <f>BP63&lt;=-$BN$128</f>
        <v>1</v>
      </c>
      <c r="BR63" s="1">
        <v>90</v>
      </c>
      <c r="BS63" s="4">
        <f t="shared" si="58"/>
        <v>5.2903225806451672</v>
      </c>
      <c r="BT63" s="4">
        <f t="shared" si="38"/>
        <v>-3.130001436015692</v>
      </c>
      <c r="BU63" s="2" t="b">
        <f>BT63&lt;=-$BR$128</f>
        <v>0</v>
      </c>
      <c r="BV63" s="1">
        <v>89</v>
      </c>
      <c r="BW63" s="2">
        <f t="shared" si="59"/>
        <v>2.3870967741935516</v>
      </c>
      <c r="BX63" s="4">
        <f t="shared" si="39"/>
        <v>0</v>
      </c>
      <c r="BY63" s="2" t="b">
        <f>BX63&lt;=-$BV$128</f>
        <v>0</v>
      </c>
      <c r="BZ63" s="1">
        <v>84</v>
      </c>
      <c r="CA63" s="2">
        <f t="shared" si="60"/>
        <v>-6.0645161290322562</v>
      </c>
      <c r="CB63" s="4">
        <f t="shared" si="40"/>
        <v>-41.567747134205803</v>
      </c>
      <c r="CC63" s="2" t="b">
        <f t="shared" si="61"/>
        <v>1</v>
      </c>
    </row>
    <row r="64" spans="1:81" x14ac:dyDescent="0.2">
      <c r="A64" s="3">
        <v>45901</v>
      </c>
      <c r="B64" s="1">
        <v>80</v>
      </c>
      <c r="C64" s="2">
        <f t="shared" si="41"/>
        <v>-11.193548387096769</v>
      </c>
      <c r="D64" s="4">
        <f t="shared" si="21"/>
        <v>-54.962663031088837</v>
      </c>
      <c r="E64" s="2" t="b">
        <f>D64&lt;=-$B$128</f>
        <v>1</v>
      </c>
      <c r="F64" s="1">
        <v>88</v>
      </c>
      <c r="G64" s="4">
        <f t="shared" si="42"/>
        <v>0.74193548387096087</v>
      </c>
      <c r="H64" s="4">
        <f t="shared" si="22"/>
        <v>0</v>
      </c>
      <c r="I64" s="2" t="b">
        <f>H64&lt;=-$F$128</f>
        <v>0</v>
      </c>
      <c r="J64" s="1">
        <v>87</v>
      </c>
      <c r="K64" s="4">
        <f t="shared" si="43"/>
        <v>-2.7096774193548328</v>
      </c>
      <c r="L64" s="4">
        <f t="shared" si="23"/>
        <v>-55.275765744750331</v>
      </c>
      <c r="M64" s="2" t="b">
        <f>L64&lt;=-$J$128</f>
        <v>1</v>
      </c>
      <c r="N64" s="1">
        <v>88</v>
      </c>
      <c r="O64" s="4">
        <f t="shared" si="44"/>
        <v>0.35483870967742348</v>
      </c>
      <c r="P64" s="4">
        <f t="shared" si="24"/>
        <v>0</v>
      </c>
      <c r="Q64" s="2" t="b">
        <f>P64&lt;=-$N$128</f>
        <v>0</v>
      </c>
      <c r="R64" s="1">
        <v>79</v>
      </c>
      <c r="S64" s="4">
        <f t="shared" si="45"/>
        <v>-12.741935483870961</v>
      </c>
      <c r="T64" s="4">
        <f t="shared" si="25"/>
        <v>-12.964743487906423</v>
      </c>
      <c r="U64" s="2" t="b">
        <f>T64&lt;=-$R$128</f>
        <v>0</v>
      </c>
      <c r="V64" s="1">
        <v>80</v>
      </c>
      <c r="W64" s="4">
        <f t="shared" si="46"/>
        <v>-6.7419354838709609</v>
      </c>
      <c r="X64" s="4">
        <f t="shared" si="26"/>
        <v>-17.191505962589879</v>
      </c>
      <c r="Y64" s="8" t="b">
        <f>X64&lt;=-$V$128</f>
        <v>1</v>
      </c>
      <c r="Z64" s="1">
        <v>84</v>
      </c>
      <c r="AA64" s="4">
        <f t="shared" si="47"/>
        <v>-5.2580645161290391</v>
      </c>
      <c r="AB64" s="4">
        <f t="shared" si="27"/>
        <v>-37.324277102601414</v>
      </c>
      <c r="AC64" s="2" t="b">
        <f>AB64&lt;=-$Z$128</f>
        <v>1</v>
      </c>
      <c r="AD64" s="1">
        <v>88</v>
      </c>
      <c r="AE64" s="4">
        <f t="shared" si="48"/>
        <v>2.4193548387096797</v>
      </c>
      <c r="AF64" s="4">
        <f t="shared" si="28"/>
        <v>0</v>
      </c>
      <c r="AG64" s="2" t="b">
        <f>AF64&lt;=-$AD$128</f>
        <v>0</v>
      </c>
      <c r="AH64" s="1">
        <v>82</v>
      </c>
      <c r="AI64" s="4">
        <f t="shared" si="49"/>
        <v>-5.8387096774193594</v>
      </c>
      <c r="AJ64" s="4">
        <f t="shared" si="29"/>
        <v>-60.802888330412685</v>
      </c>
      <c r="AK64" s="2" t="b">
        <f>AJ64&lt;=-$AH$128</f>
        <v>1</v>
      </c>
      <c r="AL64" s="1">
        <v>85</v>
      </c>
      <c r="AM64" s="4">
        <f t="shared" si="50"/>
        <v>-1.9354838709677438</v>
      </c>
      <c r="AN64" s="4">
        <f t="shared" si="30"/>
        <v>0</v>
      </c>
      <c r="AO64" s="2" t="b">
        <f>AN64&lt;=-$AL$128</f>
        <v>0</v>
      </c>
      <c r="AP64" s="1">
        <v>85</v>
      </c>
      <c r="AQ64" s="4">
        <f t="shared" si="51"/>
        <v>-5.1935483870967687</v>
      </c>
      <c r="AR64" s="4">
        <f t="shared" si="31"/>
        <v>-24.639225737881148</v>
      </c>
      <c r="AS64" s="2" t="b">
        <f>AR64&lt;=-$AP$128</f>
        <v>1</v>
      </c>
      <c r="AT64" s="1">
        <v>84</v>
      </c>
      <c r="AU64" s="4">
        <f t="shared" si="52"/>
        <v>-2.4193548387096797</v>
      </c>
      <c r="AV64" s="4">
        <f t="shared" si="32"/>
        <v>-0.74218364118497537</v>
      </c>
      <c r="AW64" s="2" t="b">
        <f>AV64&lt;=-$AT$128</f>
        <v>0</v>
      </c>
      <c r="AX64" s="1">
        <v>81</v>
      </c>
      <c r="AY64" s="4">
        <f t="shared" si="53"/>
        <v>-8.1612903225806406</v>
      </c>
      <c r="AZ64" s="4">
        <f t="shared" si="33"/>
        <v>-78.708922010899954</v>
      </c>
      <c r="BA64" s="2" t="b">
        <f>AZ64&lt;=-$AX$128</f>
        <v>1</v>
      </c>
      <c r="BB64" s="1">
        <v>71</v>
      </c>
      <c r="BC64" s="4">
        <f t="shared" si="54"/>
        <v>-15.645161290322577</v>
      </c>
      <c r="BD64" s="4">
        <f t="shared" si="34"/>
        <v>-35.792654140214999</v>
      </c>
      <c r="BE64" s="2" t="b">
        <f>BD64&lt;=-$BB$128</f>
        <v>1</v>
      </c>
      <c r="BF64" s="1">
        <v>90</v>
      </c>
      <c r="BG64" s="4">
        <f t="shared" si="55"/>
        <v>-1.2580645161290391</v>
      </c>
      <c r="BH64" s="4">
        <f t="shared" si="35"/>
        <v>-11.375439829933295</v>
      </c>
      <c r="BI64" s="2" t="b">
        <f>BH64&lt;=-$BF$128</f>
        <v>0</v>
      </c>
      <c r="BJ64" s="1">
        <v>95</v>
      </c>
      <c r="BK64" s="4">
        <f t="shared" si="56"/>
        <v>3.0645161290322562</v>
      </c>
      <c r="BL64" s="4">
        <f t="shared" si="36"/>
        <v>0</v>
      </c>
      <c r="BM64" s="2" t="b">
        <f>BL64&lt;=-$BJ$128</f>
        <v>0</v>
      </c>
      <c r="BN64" s="1">
        <v>91</v>
      </c>
      <c r="BO64" s="4">
        <f t="shared" si="57"/>
        <v>-3.0967741935483843</v>
      </c>
      <c r="BP64" s="4">
        <f t="shared" si="37"/>
        <v>-141.3216890284283</v>
      </c>
      <c r="BQ64" s="2" t="b">
        <f>BP64&lt;=-$BN$128</f>
        <v>1</v>
      </c>
      <c r="BR64" s="1">
        <v>90</v>
      </c>
      <c r="BS64" s="4">
        <f t="shared" si="58"/>
        <v>5.2903225806451672</v>
      </c>
      <c r="BT64" s="4">
        <f t="shared" si="38"/>
        <v>0</v>
      </c>
      <c r="BU64" s="2" t="b">
        <f>BT64&lt;=-$BR$128</f>
        <v>0</v>
      </c>
      <c r="BV64" s="1">
        <v>90</v>
      </c>
      <c r="BW64" s="2">
        <f t="shared" si="59"/>
        <v>3.3870967741935516</v>
      </c>
      <c r="BX64" s="4">
        <f t="shared" si="39"/>
        <v>0</v>
      </c>
      <c r="BY64" s="2" t="b">
        <f>BX64&lt;=-$BV$128</f>
        <v>0</v>
      </c>
      <c r="BZ64" s="1">
        <v>87</v>
      </c>
      <c r="CA64" s="2">
        <f t="shared" si="60"/>
        <v>-3.0645161290322562</v>
      </c>
      <c r="CB64" s="4">
        <f t="shared" si="40"/>
        <v>-42.853052371339778</v>
      </c>
      <c r="CC64" s="2" t="b">
        <f t="shared" si="61"/>
        <v>1</v>
      </c>
    </row>
    <row r="65" spans="1:81" x14ac:dyDescent="0.2">
      <c r="A65" s="3">
        <v>45902</v>
      </c>
      <c r="B65" s="1">
        <v>73</v>
      </c>
      <c r="C65" s="2">
        <f t="shared" si="41"/>
        <v>-18.193548387096769</v>
      </c>
      <c r="D65" s="4">
        <f t="shared" si="21"/>
        <v>-70.705295416501372</v>
      </c>
      <c r="E65" s="2" t="b">
        <f>D65&lt;=-$B$128</f>
        <v>1</v>
      </c>
      <c r="F65" s="1">
        <v>91</v>
      </c>
      <c r="G65" s="4">
        <f t="shared" si="42"/>
        <v>3.7419354838709609</v>
      </c>
      <c r="H65" s="4">
        <f t="shared" si="22"/>
        <v>0</v>
      </c>
      <c r="I65" s="2" t="b">
        <f>H65&lt;=-$F$128</f>
        <v>0</v>
      </c>
      <c r="J65" s="1">
        <v>84</v>
      </c>
      <c r="K65" s="4">
        <f t="shared" si="43"/>
        <v>-5.7096774193548328</v>
      </c>
      <c r="L65" s="4">
        <f t="shared" si="23"/>
        <v>-59.462323840769571</v>
      </c>
      <c r="M65" s="2" t="b">
        <f>L65&lt;=-$J$128</f>
        <v>1</v>
      </c>
      <c r="N65" s="1">
        <v>91</v>
      </c>
      <c r="O65" s="4">
        <f t="shared" si="44"/>
        <v>3.3548387096774235</v>
      </c>
      <c r="P65" s="4">
        <f t="shared" si="24"/>
        <v>0</v>
      </c>
      <c r="Q65" s="2" t="b">
        <f>P65&lt;=-$N$128</f>
        <v>0</v>
      </c>
      <c r="R65" s="1">
        <v>81</v>
      </c>
      <c r="S65" s="4">
        <f t="shared" si="45"/>
        <v>-10.741935483870961</v>
      </c>
      <c r="T65" s="4">
        <f t="shared" si="25"/>
        <v>-20.952991317208564</v>
      </c>
      <c r="U65" s="2" t="b">
        <f>T65&lt;=-$R$128</f>
        <v>0</v>
      </c>
      <c r="V65" s="1">
        <v>75</v>
      </c>
      <c r="W65" s="4">
        <f t="shared" si="46"/>
        <v>-11.741935483870961</v>
      </c>
      <c r="X65" s="4">
        <f t="shared" si="26"/>
        <v>-27.629807155107855</v>
      </c>
      <c r="Y65" s="2" t="b">
        <f>X65&lt;=-$V$128</f>
        <v>1</v>
      </c>
      <c r="Z65" s="1">
        <v>84</v>
      </c>
      <c r="AA65" s="4">
        <f t="shared" si="47"/>
        <v>-5.2580645161290391</v>
      </c>
      <c r="AB65" s="4">
        <f t="shared" si="27"/>
        <v>-40.71165661970165</v>
      </c>
      <c r="AC65" s="2" t="b">
        <f>AB65&lt;=-$Z$128</f>
        <v>1</v>
      </c>
      <c r="AD65" s="1">
        <v>86</v>
      </c>
      <c r="AE65" s="4">
        <f t="shared" si="48"/>
        <v>0.41935483870967971</v>
      </c>
      <c r="AF65" s="4">
        <f t="shared" si="28"/>
        <v>0</v>
      </c>
      <c r="AG65" s="2" t="b">
        <f>AF65&lt;=-$AD$128</f>
        <v>0</v>
      </c>
      <c r="AH65" s="1">
        <v>80</v>
      </c>
      <c r="AI65" s="4">
        <f t="shared" si="49"/>
        <v>-7.8387096774193594</v>
      </c>
      <c r="AJ65" s="4">
        <f t="shared" si="29"/>
        <v>-67.091884194502043</v>
      </c>
      <c r="AK65" s="2" t="b">
        <f>AJ65&lt;=-$AH$128</f>
        <v>1</v>
      </c>
      <c r="AL65" s="1">
        <v>88</v>
      </c>
      <c r="AM65" s="4">
        <f t="shared" si="50"/>
        <v>1.0645161290322562</v>
      </c>
      <c r="AN65" s="4">
        <f t="shared" si="30"/>
        <v>0</v>
      </c>
      <c r="AO65" s="2" t="b">
        <f>AN65&lt;=-$AL$128</f>
        <v>0</v>
      </c>
      <c r="AP65" s="1">
        <v>86</v>
      </c>
      <c r="AQ65" s="4">
        <f t="shared" si="51"/>
        <v>-4.1935483870967687</v>
      </c>
      <c r="AR65" s="4">
        <f t="shared" si="31"/>
        <v>-26.713735998693927</v>
      </c>
      <c r="AS65" s="2" t="b">
        <f>AR65&lt;=-$AP$128</f>
        <v>1</v>
      </c>
      <c r="AT65" s="1">
        <v>83</v>
      </c>
      <c r="AU65" s="4">
        <f t="shared" si="52"/>
        <v>-3.4193548387096797</v>
      </c>
      <c r="AV65" s="4">
        <f t="shared" si="32"/>
        <v>-2.4843672823699503</v>
      </c>
      <c r="AW65" s="2" t="b">
        <f>AV65&lt;=-$AT$128</f>
        <v>0</v>
      </c>
      <c r="AX65" s="1">
        <v>85</v>
      </c>
      <c r="AY65" s="4">
        <f t="shared" si="53"/>
        <v>-4.1612903225806406</v>
      </c>
      <c r="AZ65" s="4">
        <f t="shared" si="33"/>
        <v>-81.497278891335952</v>
      </c>
      <c r="BA65" s="2" t="b">
        <f>AZ65&lt;=-$AX$128</f>
        <v>1</v>
      </c>
      <c r="BB65" s="1">
        <v>78</v>
      </c>
      <c r="BC65" s="4">
        <f t="shared" si="54"/>
        <v>-8.6451612903225765</v>
      </c>
      <c r="BD65" s="4">
        <f t="shared" si="34"/>
        <v>-42.591429830250831</v>
      </c>
      <c r="BE65" s="2" t="b">
        <f>BD65&lt;=-$BB$128</f>
        <v>1</v>
      </c>
      <c r="BF65" s="1">
        <v>91</v>
      </c>
      <c r="BG65" s="4">
        <f t="shared" si="55"/>
        <v>-0.25806451612903913</v>
      </c>
      <c r="BH65" s="4">
        <f t="shared" si="35"/>
        <v>-9.6046798015888442</v>
      </c>
      <c r="BI65" s="2" t="b">
        <f>BH65&lt;=-$BF$128</f>
        <v>0</v>
      </c>
      <c r="BJ65" s="1">
        <v>96</v>
      </c>
      <c r="BK65" s="4">
        <f t="shared" si="56"/>
        <v>4.0645161290322562</v>
      </c>
      <c r="BL65" s="4">
        <f t="shared" si="36"/>
        <v>0</v>
      </c>
      <c r="BM65" s="2" t="b">
        <f>BL65&lt;=-$BJ$128</f>
        <v>0</v>
      </c>
      <c r="BN65" s="1">
        <v>89</v>
      </c>
      <c r="BO65" s="4">
        <f t="shared" si="57"/>
        <v>-5.0967741935483843</v>
      </c>
      <c r="BP65" s="4">
        <f t="shared" si="37"/>
        <v>-144.12588520182237</v>
      </c>
      <c r="BQ65" s="2" t="b">
        <f>BP65&lt;=-$BN$128</f>
        <v>1</v>
      </c>
      <c r="BR65" s="1">
        <v>84</v>
      </c>
      <c r="BS65" s="4">
        <f t="shared" si="58"/>
        <v>-0.70967741935483275</v>
      </c>
      <c r="BT65" s="4">
        <f t="shared" si="38"/>
        <v>0</v>
      </c>
      <c r="BU65" s="2" t="b">
        <f>BT65&lt;=-$BR$128</f>
        <v>0</v>
      </c>
      <c r="BV65" s="1">
        <v>90</v>
      </c>
      <c r="BW65" s="2">
        <f t="shared" si="59"/>
        <v>3.3870967741935516</v>
      </c>
      <c r="BX65" s="4">
        <f t="shared" si="39"/>
        <v>0</v>
      </c>
      <c r="BY65" s="2" t="b">
        <f>BX65&lt;=-$BV$128</f>
        <v>0</v>
      </c>
      <c r="BZ65" s="1">
        <v>90</v>
      </c>
      <c r="CA65" s="2">
        <f t="shared" si="60"/>
        <v>-6.4516129032256231E-2</v>
      </c>
      <c r="CB65" s="4">
        <f t="shared" si="40"/>
        <v>-41.138357608473754</v>
      </c>
      <c r="CC65" s="2" t="b">
        <f t="shared" si="61"/>
        <v>1</v>
      </c>
    </row>
    <row r="66" spans="1:81" x14ac:dyDescent="0.2">
      <c r="A66" s="3">
        <v>45903</v>
      </c>
      <c r="B66" s="1">
        <v>87</v>
      </c>
      <c r="C66" s="2">
        <f t="shared" ref="C66:C97" si="62">B66-$B$125</f>
        <v>-4.1935483870967687</v>
      </c>
      <c r="D66" s="4">
        <f t="shared" si="21"/>
        <v>-72.447927801913906</v>
      </c>
      <c r="E66" s="2" t="b">
        <f>D66&lt;=-$B$128</f>
        <v>1</v>
      </c>
      <c r="F66" s="1">
        <v>93</v>
      </c>
      <c r="G66" s="4">
        <f t="shared" ref="G66:G97" si="63">F66-$F$125</f>
        <v>5.7419354838709609</v>
      </c>
      <c r="H66" s="4">
        <f t="shared" si="22"/>
        <v>0</v>
      </c>
      <c r="I66" s="2" t="b">
        <f>H66&lt;=-$F$128</f>
        <v>0</v>
      </c>
      <c r="J66" s="1">
        <v>77</v>
      </c>
      <c r="K66" s="4">
        <f t="shared" ref="K66:K97" si="64">J66-$J$125</f>
        <v>-12.709677419354833</v>
      </c>
      <c r="L66" s="4">
        <f t="shared" si="23"/>
        <v>-70.648881936788811</v>
      </c>
      <c r="M66" s="2" t="b">
        <f>L66&lt;=-$J$128</f>
        <v>1</v>
      </c>
      <c r="N66" s="1">
        <v>84</v>
      </c>
      <c r="O66" s="4">
        <f t="shared" ref="O66:O97" si="65">N66-$N$125</f>
        <v>-3.6451612903225765</v>
      </c>
      <c r="P66" s="4">
        <f t="shared" si="24"/>
        <v>-0.753943590987876</v>
      </c>
      <c r="Q66" s="2" t="b">
        <f>P66&lt;=-$N$128</f>
        <v>0</v>
      </c>
      <c r="R66" s="1">
        <v>82</v>
      </c>
      <c r="S66" s="4">
        <f t="shared" ref="S66:S97" si="66">R66-$R$125</f>
        <v>-9.7419354838709609</v>
      </c>
      <c r="T66" s="4">
        <f t="shared" si="25"/>
        <v>-27.941239146510704</v>
      </c>
      <c r="U66" s="8" t="b">
        <f>T66&lt;=-$R$128</f>
        <v>1</v>
      </c>
      <c r="V66" s="1">
        <v>73</v>
      </c>
      <c r="W66" s="4">
        <f t="shared" ref="W66:W97" si="67">V66-$V$125</f>
        <v>-13.741935483870961</v>
      </c>
      <c r="X66" s="4">
        <f t="shared" si="26"/>
        <v>-40.068108347625831</v>
      </c>
      <c r="Y66" s="2" t="b">
        <f>X66&lt;=-$V$128</f>
        <v>1</v>
      </c>
      <c r="Z66" s="1">
        <v>89</v>
      </c>
      <c r="AA66" s="4">
        <f t="shared" ref="AA66:AA97" si="68">Z66-$Z$125</f>
        <v>-0.25806451612903913</v>
      </c>
      <c r="AB66" s="4">
        <f t="shared" si="27"/>
        <v>-39.099036136801885</v>
      </c>
      <c r="AC66" s="2" t="b">
        <f>AB66&lt;=-$Z$128</f>
        <v>1</v>
      </c>
      <c r="AD66" s="1">
        <v>87</v>
      </c>
      <c r="AE66" s="4">
        <f t="shared" ref="AE66:AE97" si="69">AD66-$AD$125</f>
        <v>1.4193548387096797</v>
      </c>
      <c r="AF66" s="4">
        <f t="shared" si="28"/>
        <v>0</v>
      </c>
      <c r="AG66" s="2" t="b">
        <f>AF66&lt;=-$AD$128</f>
        <v>0</v>
      </c>
      <c r="AH66" s="1">
        <v>81</v>
      </c>
      <c r="AI66" s="4">
        <f t="shared" ref="AI66:AI97" si="70">AH66-$AH$125</f>
        <v>-6.8387096774193594</v>
      </c>
      <c r="AJ66" s="4">
        <f t="shared" si="29"/>
        <v>-72.380880058591401</v>
      </c>
      <c r="AK66" s="2" t="b">
        <f>AJ66&lt;=-$AH$128</f>
        <v>1</v>
      </c>
      <c r="AL66" s="1">
        <v>87</v>
      </c>
      <c r="AM66" s="4">
        <f t="shared" ref="AM66:AM97" si="71">AL66-$AL$125</f>
        <v>6.4516129032256231E-2</v>
      </c>
      <c r="AN66" s="4">
        <f t="shared" si="30"/>
        <v>0</v>
      </c>
      <c r="AO66" s="2" t="b">
        <f>AN66&lt;=-$AL$128</f>
        <v>0</v>
      </c>
      <c r="AP66" s="1">
        <v>85</v>
      </c>
      <c r="AQ66" s="4">
        <f t="shared" ref="AQ66:AQ97" si="72">AP66-$AP$125</f>
        <v>-5.1935483870967687</v>
      </c>
      <c r="AR66" s="4">
        <f t="shared" si="31"/>
        <v>-29.788246259506707</v>
      </c>
      <c r="AS66" s="2" t="b">
        <f>AR66&lt;=-$AP$128</f>
        <v>1</v>
      </c>
      <c r="AT66" s="1">
        <v>88</v>
      </c>
      <c r="AU66" s="4">
        <f t="shared" ref="AU66:AU97" si="73">AT66-$AT$125</f>
        <v>1.5806451612903203</v>
      </c>
      <c r="AV66" s="4">
        <f t="shared" si="32"/>
        <v>0</v>
      </c>
      <c r="AW66" s="2" t="b">
        <f>AV66&lt;=-$AT$128</f>
        <v>0</v>
      </c>
      <c r="AX66" s="1">
        <v>83</v>
      </c>
      <c r="AY66" s="4">
        <f t="shared" ref="AY66:AY97" si="74">AX66-$AX$125</f>
        <v>-6.1612903225806406</v>
      </c>
      <c r="AZ66" s="4">
        <f t="shared" si="33"/>
        <v>-86.28563577177195</v>
      </c>
      <c r="BA66" s="2" t="b">
        <f>AZ66&lt;=-$AX$128</f>
        <v>1</v>
      </c>
      <c r="BB66" s="1">
        <v>79</v>
      </c>
      <c r="BC66" s="4">
        <f t="shared" ref="BC66:BC97" si="75">BB66-$BB$125</f>
        <v>-7.6451612903225765</v>
      </c>
      <c r="BD66" s="4">
        <f t="shared" si="34"/>
        <v>-48.390205520286663</v>
      </c>
      <c r="BE66" s="2" t="b">
        <f>BD66&lt;=-$BB$128</f>
        <v>1</v>
      </c>
      <c r="BF66" s="1">
        <v>92</v>
      </c>
      <c r="BG66" s="4">
        <f t="shared" ref="BG66:BG97" si="76">BF66-$BF$125</f>
        <v>0.74193548387096087</v>
      </c>
      <c r="BH66" s="4">
        <f t="shared" si="35"/>
        <v>-6.8339197732443937</v>
      </c>
      <c r="BI66" s="2" t="b">
        <f>BH66&lt;=-$BF$128</f>
        <v>0</v>
      </c>
      <c r="BJ66" s="1">
        <v>95</v>
      </c>
      <c r="BK66" s="4">
        <f t="shared" ref="BK66:BK97" si="77">BJ66-$BJ$125</f>
        <v>3.0645161290322562</v>
      </c>
      <c r="BL66" s="4">
        <f t="shared" si="36"/>
        <v>0</v>
      </c>
      <c r="BM66" s="2" t="b">
        <f>BL66&lt;=-$BJ$128</f>
        <v>0</v>
      </c>
      <c r="BN66" s="1">
        <v>85</v>
      </c>
      <c r="BO66" s="4">
        <f t="shared" ref="BO66:BO97" si="78">BN66-$BN$125</f>
        <v>-9.0967741935483843</v>
      </c>
      <c r="BP66" s="4">
        <f t="shared" si="37"/>
        <v>-150.93008137521645</v>
      </c>
      <c r="BQ66" s="2" t="b">
        <f>BP66&lt;=-$BN$128</f>
        <v>1</v>
      </c>
      <c r="BR66" s="1">
        <v>90</v>
      </c>
      <c r="BS66" s="4">
        <f t="shared" ref="BS66:BS97" si="79">BR66-$BR$125</f>
        <v>5.2903225806451672</v>
      </c>
      <c r="BT66" s="4">
        <f t="shared" si="38"/>
        <v>0</v>
      </c>
      <c r="BU66" s="2" t="b">
        <f>BT66&lt;=-$BR$128</f>
        <v>0</v>
      </c>
      <c r="BV66" s="1">
        <v>92</v>
      </c>
      <c r="BW66" s="2">
        <f t="shared" ref="BW66:BW97" si="80">BV66-$BV$125</f>
        <v>5.3870967741935516</v>
      </c>
      <c r="BX66" s="4">
        <f t="shared" si="39"/>
        <v>0</v>
      </c>
      <c r="BY66" s="2" t="b">
        <f>BX66&lt;=-$BV$128</f>
        <v>0</v>
      </c>
      <c r="BZ66" s="1">
        <v>89</v>
      </c>
      <c r="CA66" s="2">
        <f t="shared" ref="CA66:CA97" si="81">BZ66-$BZ$125</f>
        <v>-1.0645161290322562</v>
      </c>
      <c r="CB66" s="4">
        <f t="shared" si="40"/>
        <v>-40.42366284560773</v>
      </c>
      <c r="CC66" s="2" t="b">
        <f t="shared" ref="CC66:CC97" si="82">CB66&lt;=-$BZ$128</f>
        <v>1</v>
      </c>
    </row>
    <row r="67" spans="1:81" x14ac:dyDescent="0.2">
      <c r="A67" s="3">
        <v>45904</v>
      </c>
      <c r="B67" s="1">
        <v>84</v>
      </c>
      <c r="C67" s="2">
        <f t="shared" si="62"/>
        <v>-7.1935483870967687</v>
      </c>
      <c r="D67" s="4">
        <f t="shared" si="21"/>
        <v>-77.19056018732644</v>
      </c>
      <c r="E67" s="2" t="b">
        <f>D67&lt;=-$B$128</f>
        <v>1</v>
      </c>
      <c r="F67" s="1">
        <v>81</v>
      </c>
      <c r="G67" s="4">
        <f t="shared" si="63"/>
        <v>-6.2580645161290391</v>
      </c>
      <c r="H67" s="4">
        <f t="shared" si="22"/>
        <v>-4.0445915965767361</v>
      </c>
      <c r="I67" s="2" t="b">
        <f>H67&lt;=-$F$128</f>
        <v>0</v>
      </c>
      <c r="J67" s="1">
        <v>90</v>
      </c>
      <c r="K67" s="4">
        <f t="shared" si="64"/>
        <v>0.29032258064516725</v>
      </c>
      <c r="L67" s="4">
        <f t="shared" si="23"/>
        <v>-68.835440032808052</v>
      </c>
      <c r="M67" s="2" t="b">
        <f>L67&lt;=-$J$128</f>
        <v>1</v>
      </c>
      <c r="N67" s="1">
        <v>93</v>
      </c>
      <c r="O67" s="4">
        <f t="shared" si="65"/>
        <v>5.3548387096774235</v>
      </c>
      <c r="P67" s="4">
        <f t="shared" si="24"/>
        <v>0</v>
      </c>
      <c r="Q67" s="2" t="b">
        <f>P67&lt;=-$N$128</f>
        <v>0</v>
      </c>
      <c r="R67" s="1">
        <v>87</v>
      </c>
      <c r="S67" s="4">
        <f t="shared" si="66"/>
        <v>-4.7419354838709609</v>
      </c>
      <c r="T67" s="4">
        <f t="shared" si="25"/>
        <v>-29.929486975812843</v>
      </c>
      <c r="U67" s="2" t="b">
        <f>T67&lt;=-$R$128</f>
        <v>1</v>
      </c>
      <c r="V67" s="1">
        <v>81</v>
      </c>
      <c r="W67" s="4">
        <f t="shared" si="67"/>
        <v>-5.7419354838709609</v>
      </c>
      <c r="X67" s="4">
        <f t="shared" si="26"/>
        <v>-44.506409540143807</v>
      </c>
      <c r="Y67" s="2" t="b">
        <f>X67&lt;=-$V$128</f>
        <v>1</v>
      </c>
      <c r="Z67" s="1">
        <v>95</v>
      </c>
      <c r="AA67" s="4">
        <f t="shared" si="68"/>
        <v>5.7419354838709609</v>
      </c>
      <c r="AB67" s="4">
        <f t="shared" si="27"/>
        <v>-31.486415653902121</v>
      </c>
      <c r="AC67" s="2" t="b">
        <f>AB67&lt;=-$Z$128</f>
        <v>1</v>
      </c>
      <c r="AD67" s="1">
        <v>87</v>
      </c>
      <c r="AE67" s="4">
        <f t="shared" si="69"/>
        <v>1.4193548387096797</v>
      </c>
      <c r="AF67" s="4">
        <f t="shared" si="28"/>
        <v>0</v>
      </c>
      <c r="AG67" s="2" t="b">
        <f>AF67&lt;=-$AD$128</f>
        <v>0</v>
      </c>
      <c r="AH67" s="1">
        <v>82</v>
      </c>
      <c r="AI67" s="4">
        <f t="shared" si="70"/>
        <v>-5.8387096774193594</v>
      </c>
      <c r="AJ67" s="4">
        <f t="shared" si="29"/>
        <v>-76.66987592268076</v>
      </c>
      <c r="AK67" s="2" t="b">
        <f>AJ67&lt;=-$AH$128</f>
        <v>1</v>
      </c>
      <c r="AL67" s="1">
        <v>85</v>
      </c>
      <c r="AM67" s="4">
        <f t="shared" si="71"/>
        <v>-1.9354838709677438</v>
      </c>
      <c r="AN67" s="4">
        <f t="shared" si="30"/>
        <v>0</v>
      </c>
      <c r="AO67" s="2" t="b">
        <f>AN67&lt;=-$AL$128</f>
        <v>0</v>
      </c>
      <c r="AP67" s="1">
        <v>88</v>
      </c>
      <c r="AQ67" s="4">
        <f t="shared" si="72"/>
        <v>-2.1935483870967687</v>
      </c>
      <c r="AR67" s="4">
        <f t="shared" si="31"/>
        <v>-29.862756520319486</v>
      </c>
      <c r="AS67" s="2" t="b">
        <f>AR67&lt;=-$AP$128</f>
        <v>1</v>
      </c>
      <c r="AT67" s="1">
        <v>91</v>
      </c>
      <c r="AU67" s="4">
        <f t="shared" si="73"/>
        <v>4.5806451612903203</v>
      </c>
      <c r="AV67" s="4">
        <f t="shared" si="32"/>
        <v>0</v>
      </c>
      <c r="AW67" s="2" t="b">
        <f>AV67&lt;=-$AT$128</f>
        <v>0</v>
      </c>
      <c r="AX67" s="1">
        <v>85</v>
      </c>
      <c r="AY67" s="4">
        <f t="shared" si="74"/>
        <v>-4.1612903225806406</v>
      </c>
      <c r="AZ67" s="4">
        <f t="shared" si="33"/>
        <v>-89.073992652207949</v>
      </c>
      <c r="BA67" s="2" t="b">
        <f>AZ67&lt;=-$AX$128</f>
        <v>1</v>
      </c>
      <c r="BB67" s="1">
        <v>83</v>
      </c>
      <c r="BC67" s="4">
        <f t="shared" si="75"/>
        <v>-3.6451612903225765</v>
      </c>
      <c r="BD67" s="4">
        <f t="shared" si="34"/>
        <v>-50.188981210322495</v>
      </c>
      <c r="BE67" s="2" t="b">
        <f>BD67&lt;=-$BB$128</f>
        <v>1</v>
      </c>
      <c r="BF67" s="1">
        <v>84</v>
      </c>
      <c r="BG67" s="4">
        <f t="shared" si="76"/>
        <v>-7.2580645161290391</v>
      </c>
      <c r="BH67" s="4">
        <f t="shared" si="35"/>
        <v>-12.063159744899941</v>
      </c>
      <c r="BI67" s="2" t="b">
        <f>BH67&lt;=-$BF$128</f>
        <v>0</v>
      </c>
      <c r="BJ67" s="1">
        <v>80</v>
      </c>
      <c r="BK67" s="4">
        <f t="shared" si="77"/>
        <v>-11.935483870967744</v>
      </c>
      <c r="BL67" s="4">
        <f t="shared" si="36"/>
        <v>-10.198938047256355</v>
      </c>
      <c r="BM67" s="2" t="b">
        <f>BL67&lt;=-$BJ$128</f>
        <v>0</v>
      </c>
      <c r="BN67" s="1">
        <v>77</v>
      </c>
      <c r="BO67" s="4">
        <f t="shared" si="78"/>
        <v>-17.096774193548384</v>
      </c>
      <c r="BP67" s="4">
        <f t="shared" si="37"/>
        <v>-165.73427754861052</v>
      </c>
      <c r="BQ67" s="2" t="b">
        <f>BP67&lt;=-$BN$128</f>
        <v>1</v>
      </c>
      <c r="BR67" s="1">
        <v>89</v>
      </c>
      <c r="BS67" s="4">
        <f t="shared" si="79"/>
        <v>4.2903225806451672</v>
      </c>
      <c r="BT67" s="4">
        <f t="shared" si="38"/>
        <v>0</v>
      </c>
      <c r="BU67" s="2" t="b">
        <f>BT67&lt;=-$BR$128</f>
        <v>0</v>
      </c>
      <c r="BV67" s="1">
        <v>82</v>
      </c>
      <c r="BW67" s="2">
        <f t="shared" si="80"/>
        <v>-4.6129032258064484</v>
      </c>
      <c r="BX67" s="4">
        <f t="shared" si="39"/>
        <v>-2.8208958813514524</v>
      </c>
      <c r="BY67" s="2" t="b">
        <f>BX67&lt;=-$BV$128</f>
        <v>0</v>
      </c>
      <c r="BZ67" s="1">
        <v>92</v>
      </c>
      <c r="CA67" s="2">
        <f t="shared" si="81"/>
        <v>1.9354838709677438</v>
      </c>
      <c r="CB67" s="4">
        <f t="shared" si="40"/>
        <v>-36.708968082741706</v>
      </c>
      <c r="CC67" s="2" t="b">
        <f t="shared" si="82"/>
        <v>1</v>
      </c>
    </row>
    <row r="68" spans="1:81" x14ac:dyDescent="0.2">
      <c r="A68" s="3">
        <v>45905</v>
      </c>
      <c r="B68" s="1">
        <v>87</v>
      </c>
      <c r="C68" s="2">
        <f t="shared" si="62"/>
        <v>-4.1935483870967687</v>
      </c>
      <c r="D68" s="4">
        <f t="shared" ref="D68:D124" si="83">MIN(0,D67+C68+$B$127)</f>
        <v>-78.933192572738974</v>
      </c>
      <c r="E68" s="2" t="b">
        <f>D68&lt;=-$B$128</f>
        <v>1</v>
      </c>
      <c r="F68" s="1">
        <v>81</v>
      </c>
      <c r="G68" s="4">
        <f t="shared" si="63"/>
        <v>-6.2580645161290391</v>
      </c>
      <c r="H68" s="4">
        <f t="shared" ref="H68:H124" si="84">MIN(0,H67+G68+$F$127)</f>
        <v>-8.0891831931534739</v>
      </c>
      <c r="I68" s="2" t="b">
        <f>H68&lt;=-$F$128</f>
        <v>0</v>
      </c>
      <c r="J68" s="1">
        <v>91</v>
      </c>
      <c r="K68" s="4">
        <f t="shared" si="64"/>
        <v>1.2903225806451672</v>
      </c>
      <c r="L68" s="4">
        <f t="shared" ref="L68:L124" si="85">MIN(0,L67+K68+$J$127)</f>
        <v>-66.021998128827292</v>
      </c>
      <c r="M68" s="2" t="b">
        <f>L68&lt;=-$J$128</f>
        <v>1</v>
      </c>
      <c r="N68" s="1">
        <v>96</v>
      </c>
      <c r="O68" s="4">
        <f t="shared" si="65"/>
        <v>8.3548387096774235</v>
      </c>
      <c r="P68" s="4">
        <f t="shared" ref="P68:P124" si="86">MIN(0,P67+O68+$N$127)</f>
        <v>0</v>
      </c>
      <c r="Q68" s="2" t="b">
        <f>P68&lt;=-$N$128</f>
        <v>0</v>
      </c>
      <c r="R68" s="1">
        <v>81</v>
      </c>
      <c r="S68" s="4">
        <f t="shared" si="66"/>
        <v>-10.741935483870961</v>
      </c>
      <c r="T68" s="4">
        <f t="shared" ref="T68:T124" si="87">MIN(0,T67+S68+$R$127)</f>
        <v>-37.917734805114982</v>
      </c>
      <c r="U68" s="2" t="b">
        <f>T68&lt;=-$R$128</f>
        <v>1</v>
      </c>
      <c r="V68" s="1">
        <v>90</v>
      </c>
      <c r="W68" s="4">
        <f t="shared" si="67"/>
        <v>3.2580645161290391</v>
      </c>
      <c r="X68" s="4">
        <f t="shared" ref="X68:X124" si="88">MIN(0,X67+W68+$V$127)</f>
        <v>-39.944710732661783</v>
      </c>
      <c r="Y68" s="2" t="b">
        <f>X68&lt;=-$V$128</f>
        <v>1</v>
      </c>
      <c r="Z68" s="1">
        <v>93</v>
      </c>
      <c r="AA68" s="4">
        <f t="shared" si="68"/>
        <v>3.7419354838709609</v>
      </c>
      <c r="AB68" s="4">
        <f t="shared" ref="AB68:AB124" si="89">MIN(0,AB67+AA68+$Z$127)</f>
        <v>-25.873795171002357</v>
      </c>
      <c r="AC68" s="2" t="b">
        <f>AB68&lt;=-$Z$128</f>
        <v>1</v>
      </c>
      <c r="AD68" s="1">
        <v>84</v>
      </c>
      <c r="AE68" s="4">
        <f t="shared" si="69"/>
        <v>-1.5806451612903203</v>
      </c>
      <c r="AF68" s="4">
        <f t="shared" ref="AF68:AF124" si="90">MIN(0,AF67+AE68+$AD$127)</f>
        <v>0</v>
      </c>
      <c r="AG68" s="2" t="b">
        <f>AF68&lt;=-$AD$128</f>
        <v>0</v>
      </c>
      <c r="AH68" s="1">
        <v>84</v>
      </c>
      <c r="AI68" s="4">
        <f t="shared" si="70"/>
        <v>-3.8387096774193594</v>
      </c>
      <c r="AJ68" s="4">
        <f t="shared" ref="AJ68:AJ124" si="91">MIN(0,AJ67+AI68+$AH$127)</f>
        <v>-78.958871786770118</v>
      </c>
      <c r="AK68" s="2" t="b">
        <f>AJ68&lt;=-$AH$128</f>
        <v>1</v>
      </c>
      <c r="AL68" s="1">
        <v>81</v>
      </c>
      <c r="AM68" s="4">
        <f t="shared" si="71"/>
        <v>-5.9354838709677438</v>
      </c>
      <c r="AN68" s="4">
        <f t="shared" ref="AN68:AN124" si="92">MIN(0,AN67+AM68+$AL$127)</f>
        <v>-3.7334564571550093</v>
      </c>
      <c r="AO68" s="9" t="b">
        <f>AN68&lt;=-$AL$128</f>
        <v>0</v>
      </c>
      <c r="AP68" s="1">
        <v>83</v>
      </c>
      <c r="AQ68" s="4">
        <f t="shared" si="72"/>
        <v>-7.1935483870967687</v>
      </c>
      <c r="AR68" s="4">
        <f t="shared" ref="AR68:AR124" si="93">MIN(0,AR67+AQ68+$AP$127)</f>
        <v>-34.937266781132266</v>
      </c>
      <c r="AS68" s="2" t="b">
        <f>AR68&lt;=-$AP$128</f>
        <v>1</v>
      </c>
      <c r="AT68" s="1">
        <v>89</v>
      </c>
      <c r="AU68" s="4">
        <f t="shared" si="73"/>
        <v>2.5806451612903203</v>
      </c>
      <c r="AV68" s="4">
        <f t="shared" ref="AV68:AV124" si="94">MIN(0,AV67+AU68+$AT$127)</f>
        <v>0</v>
      </c>
      <c r="AW68" s="2" t="b">
        <f>AV68&lt;=-$AT$128</f>
        <v>0</v>
      </c>
      <c r="AX68" s="1">
        <v>88</v>
      </c>
      <c r="AY68" s="4">
        <f t="shared" si="74"/>
        <v>-1.1612903225806406</v>
      </c>
      <c r="AZ68" s="4">
        <f t="shared" ref="AZ68:AZ124" si="95">MIN(0,AZ67+AY68+$AX$127)</f>
        <v>-88.862349532643947</v>
      </c>
      <c r="BA68" s="2" t="b">
        <f>AZ68&lt;=-$AX$128</f>
        <v>1</v>
      </c>
      <c r="BB68" s="1">
        <v>83</v>
      </c>
      <c r="BC68" s="4">
        <f t="shared" si="75"/>
        <v>-3.6451612903225765</v>
      </c>
      <c r="BD68" s="4">
        <f t="shared" ref="BD68:BD124" si="96">MIN(0,BD67+BC68+$BB$127)</f>
        <v>-51.987756900358328</v>
      </c>
      <c r="BE68" s="2" t="b">
        <f>BD68&lt;=-$BB$128</f>
        <v>1</v>
      </c>
      <c r="BF68" s="1">
        <v>85</v>
      </c>
      <c r="BG68" s="4">
        <f t="shared" si="76"/>
        <v>-6.2580645161290391</v>
      </c>
      <c r="BH68" s="4">
        <f t="shared" ref="BH68:BH124" si="97">MIN(0,BH67+BG68+$BF$127)</f>
        <v>-16.29239971655549</v>
      </c>
      <c r="BI68" s="2" t="b">
        <f>BH68&lt;=-$BF$128</f>
        <v>0</v>
      </c>
      <c r="BJ68" s="1">
        <v>78</v>
      </c>
      <c r="BK68" s="4">
        <f t="shared" si="77"/>
        <v>-13.935483870967744</v>
      </c>
      <c r="BL68" s="4">
        <f t="shared" ref="BL68:BL124" si="98">MIN(0,BL67+BK68+$BJ$127)</f>
        <v>-22.397876094512711</v>
      </c>
      <c r="BM68" s="8" t="b">
        <f>BL68&lt;=-$BJ$128</f>
        <v>1</v>
      </c>
      <c r="BN68" s="1">
        <v>85</v>
      </c>
      <c r="BO68" s="4">
        <f t="shared" si="78"/>
        <v>-9.0967741935483843</v>
      </c>
      <c r="BP68" s="4">
        <f t="shared" ref="BP68:BP124" si="99">MIN(0,BP67+BO68+$BN$127)</f>
        <v>-172.5384737220046</v>
      </c>
      <c r="BQ68" s="2" t="b">
        <f>BP68&lt;=-$BN$128</f>
        <v>1</v>
      </c>
      <c r="BR68" s="1">
        <v>89</v>
      </c>
      <c r="BS68" s="4">
        <f t="shared" si="79"/>
        <v>4.2903225806451672</v>
      </c>
      <c r="BT68" s="4">
        <f t="shared" ref="BT68:BT124" si="100">MIN(0,BT67+BS68+$BR$127)</f>
        <v>0</v>
      </c>
      <c r="BU68" s="2" t="b">
        <f>BT68&lt;=-$BR$128</f>
        <v>0</v>
      </c>
      <c r="BV68" s="1">
        <v>89</v>
      </c>
      <c r="BW68" s="2">
        <f t="shared" si="80"/>
        <v>2.3870967741935516</v>
      </c>
      <c r="BX68" s="4">
        <f t="shared" ref="BX68:BX124" si="101">MIN(0,BX67+BW68+$BV$127)</f>
        <v>0</v>
      </c>
      <c r="BY68" s="2" t="b">
        <f>BX68&lt;=-$BV$128</f>
        <v>0</v>
      </c>
      <c r="BZ68" s="1">
        <v>87</v>
      </c>
      <c r="CA68" s="2">
        <f t="shared" si="81"/>
        <v>-3.0645161290322562</v>
      </c>
      <c r="CB68" s="4">
        <f t="shared" ref="CB68:CB124" si="102">MIN(0,CB67+CA68+$BZ$127)</f>
        <v>-37.994273319875681</v>
      </c>
      <c r="CC68" s="2" t="b">
        <f t="shared" si="82"/>
        <v>1</v>
      </c>
    </row>
    <row r="69" spans="1:81" x14ac:dyDescent="0.2">
      <c r="A69" s="3">
        <v>45906</v>
      </c>
      <c r="B69" s="1">
        <v>89</v>
      </c>
      <c r="C69" s="2">
        <f t="shared" si="62"/>
        <v>-2.1935483870967687</v>
      </c>
      <c r="D69" s="4">
        <f t="shared" si="83"/>
        <v>-78.675824958151509</v>
      </c>
      <c r="E69" s="2" t="b">
        <f>D69&lt;=-$B$128</f>
        <v>1</v>
      </c>
      <c r="F69" s="1">
        <v>82</v>
      </c>
      <c r="G69" s="4">
        <f t="shared" si="63"/>
        <v>-5.2580645161290391</v>
      </c>
      <c r="H69" s="4">
        <f t="shared" si="84"/>
        <v>-11.133774789730211</v>
      </c>
      <c r="I69" s="2" t="b">
        <f>H69&lt;=-$F$128</f>
        <v>0</v>
      </c>
      <c r="J69" s="1">
        <v>89</v>
      </c>
      <c r="K69" s="4">
        <f t="shared" si="64"/>
        <v>-0.70967741935483275</v>
      </c>
      <c r="L69" s="4">
        <f t="shared" si="85"/>
        <v>-65.208556224846532</v>
      </c>
      <c r="M69" s="2" t="b">
        <f>L69&lt;=-$J$128</f>
        <v>1</v>
      </c>
      <c r="N69" s="1">
        <v>96</v>
      </c>
      <c r="O69" s="4">
        <f t="shared" si="65"/>
        <v>8.3548387096774235</v>
      </c>
      <c r="P69" s="4">
        <f t="shared" si="86"/>
        <v>0</v>
      </c>
      <c r="Q69" s="2" t="b">
        <f>P69&lt;=-$N$128</f>
        <v>0</v>
      </c>
      <c r="R69" s="1">
        <v>66</v>
      </c>
      <c r="S69" s="4">
        <f t="shared" si="66"/>
        <v>-25.741935483870961</v>
      </c>
      <c r="T69" s="4">
        <f t="shared" si="87"/>
        <v>-60.905982634417121</v>
      </c>
      <c r="U69" s="2" t="b">
        <f>T69&lt;=-$R$128</f>
        <v>1</v>
      </c>
      <c r="V69" s="1">
        <v>88</v>
      </c>
      <c r="W69" s="4">
        <f t="shared" si="67"/>
        <v>1.2580645161290391</v>
      </c>
      <c r="X69" s="4">
        <f t="shared" si="88"/>
        <v>-37.383011925179758</v>
      </c>
      <c r="Y69" s="2" t="b">
        <f>X69&lt;=-$V$128</f>
        <v>1</v>
      </c>
      <c r="Z69" s="1">
        <v>91</v>
      </c>
      <c r="AA69" s="4">
        <f t="shared" si="68"/>
        <v>1.7419354838709609</v>
      </c>
      <c r="AB69" s="4">
        <f t="shared" si="89"/>
        <v>-22.261174688102592</v>
      </c>
      <c r="AC69" s="2" t="b">
        <f>AB69&lt;=-$Z$128</f>
        <v>1</v>
      </c>
      <c r="AD69" s="1">
        <v>73</v>
      </c>
      <c r="AE69" s="4">
        <f t="shared" si="69"/>
        <v>-12.58064516129032</v>
      </c>
      <c r="AF69" s="4">
        <f t="shared" si="90"/>
        <v>-10.835298044198771</v>
      </c>
      <c r="AG69" s="2" t="b">
        <f>AF69&lt;=-$AD$128</f>
        <v>0</v>
      </c>
      <c r="AH69" s="1">
        <v>81</v>
      </c>
      <c r="AI69" s="4">
        <f t="shared" si="70"/>
        <v>-6.8387096774193594</v>
      </c>
      <c r="AJ69" s="4">
        <f t="shared" si="91"/>
        <v>-84.247867650859476</v>
      </c>
      <c r="AK69" s="2" t="b">
        <f>AJ69&lt;=-$AH$128</f>
        <v>1</v>
      </c>
      <c r="AL69" s="1">
        <v>81</v>
      </c>
      <c r="AM69" s="4">
        <f t="shared" si="71"/>
        <v>-5.9354838709677438</v>
      </c>
      <c r="AN69" s="4">
        <f t="shared" si="92"/>
        <v>-7.4669129143100186</v>
      </c>
      <c r="AO69" s="2" t="b">
        <f>AN69&lt;=-$AL$128</f>
        <v>0</v>
      </c>
      <c r="AP69" s="1">
        <v>85</v>
      </c>
      <c r="AQ69" s="4">
        <f t="shared" si="72"/>
        <v>-5.1935483870967687</v>
      </c>
      <c r="AR69" s="4">
        <f t="shared" si="93"/>
        <v>-38.011777041945045</v>
      </c>
      <c r="AS69" s="2" t="b">
        <f>AR69&lt;=-$AP$128</f>
        <v>1</v>
      </c>
      <c r="AT69" s="1">
        <v>85</v>
      </c>
      <c r="AU69" s="4">
        <f t="shared" si="73"/>
        <v>-1.4193548387096797</v>
      </c>
      <c r="AV69" s="4">
        <f t="shared" si="94"/>
        <v>0</v>
      </c>
      <c r="AW69" s="2" t="b">
        <f>AV69&lt;=-$AT$128</f>
        <v>0</v>
      </c>
      <c r="AX69" s="1">
        <v>87</v>
      </c>
      <c r="AY69" s="4">
        <f t="shared" si="74"/>
        <v>-2.1612903225806406</v>
      </c>
      <c r="AZ69" s="4">
        <f t="shared" si="95"/>
        <v>-89.650706413079945</v>
      </c>
      <c r="BA69" s="2" t="b">
        <f>AZ69&lt;=-$AX$128</f>
        <v>1</v>
      </c>
      <c r="BB69" s="1">
        <v>85</v>
      </c>
      <c r="BC69" s="4">
        <f t="shared" si="75"/>
        <v>-1.6451612903225765</v>
      </c>
      <c r="BD69" s="4">
        <f t="shared" si="96"/>
        <v>-51.78653259039416</v>
      </c>
      <c r="BE69" s="2" t="b">
        <f>BD69&lt;=-$BB$128</f>
        <v>1</v>
      </c>
      <c r="BF69" s="1">
        <v>90</v>
      </c>
      <c r="BG69" s="4">
        <f t="shared" si="76"/>
        <v>-1.2580645161290391</v>
      </c>
      <c r="BH69" s="4">
        <f t="shared" si="97"/>
        <v>-15.521639688211039</v>
      </c>
      <c r="BI69" s="2" t="b">
        <f>BH69&lt;=-$BF$128</f>
        <v>0</v>
      </c>
      <c r="BJ69" s="1">
        <v>75</v>
      </c>
      <c r="BK69" s="4">
        <f t="shared" si="77"/>
        <v>-16.935483870967744</v>
      </c>
      <c r="BL69" s="4">
        <f t="shared" si="98"/>
        <v>-37.596814141769066</v>
      </c>
      <c r="BM69" s="2" t="b">
        <f>BL69&lt;=-$BJ$128</f>
        <v>1</v>
      </c>
      <c r="BN69" s="1">
        <v>85</v>
      </c>
      <c r="BO69" s="4">
        <f t="shared" si="78"/>
        <v>-9.0967741935483843</v>
      </c>
      <c r="BP69" s="4">
        <f t="shared" si="99"/>
        <v>-179.34266989539867</v>
      </c>
      <c r="BQ69" s="2" t="b">
        <f>BP69&lt;=-$BN$128</f>
        <v>1</v>
      </c>
      <c r="BR69" s="1">
        <v>88</v>
      </c>
      <c r="BS69" s="4">
        <f t="shared" si="79"/>
        <v>3.2903225806451672</v>
      </c>
      <c r="BT69" s="4">
        <f t="shared" si="100"/>
        <v>0</v>
      </c>
      <c r="BU69" s="2" t="b">
        <f>BT69&lt;=-$BR$128</f>
        <v>0</v>
      </c>
      <c r="BV69" s="1">
        <v>91</v>
      </c>
      <c r="BW69" s="2">
        <f t="shared" si="80"/>
        <v>4.3870967741935516</v>
      </c>
      <c r="BX69" s="4">
        <f t="shared" si="101"/>
        <v>0</v>
      </c>
      <c r="BY69" s="2" t="b">
        <f>BX69&lt;=-$BV$128</f>
        <v>0</v>
      </c>
      <c r="BZ69" s="1">
        <v>85</v>
      </c>
      <c r="CA69" s="2">
        <f t="shared" si="81"/>
        <v>-5.0645161290322562</v>
      </c>
      <c r="CB69" s="4">
        <f t="shared" si="102"/>
        <v>-41.279578557009657</v>
      </c>
      <c r="CC69" s="2" t="b">
        <f t="shared" si="82"/>
        <v>1</v>
      </c>
    </row>
    <row r="70" spans="1:81" x14ac:dyDescent="0.2">
      <c r="A70" s="3">
        <v>45907</v>
      </c>
      <c r="B70" s="1">
        <v>89</v>
      </c>
      <c r="C70" s="2">
        <f t="shared" si="62"/>
        <v>-2.1935483870967687</v>
      </c>
      <c r="D70" s="4">
        <f t="shared" si="83"/>
        <v>-78.418457343564043</v>
      </c>
      <c r="E70" s="2" t="b">
        <f>D70&lt;=-$B$128</f>
        <v>1</v>
      </c>
      <c r="F70" s="1">
        <v>86</v>
      </c>
      <c r="G70" s="4">
        <f t="shared" si="63"/>
        <v>-1.2580645161290391</v>
      </c>
      <c r="H70" s="4">
        <f t="shared" si="84"/>
        <v>-10.178366386306948</v>
      </c>
      <c r="I70" s="2" t="b">
        <f>H70&lt;=-$F$128</f>
        <v>0</v>
      </c>
      <c r="J70" s="1">
        <v>90</v>
      </c>
      <c r="K70" s="4">
        <f t="shared" si="64"/>
        <v>0.29032258064516725</v>
      </c>
      <c r="L70" s="4">
        <f t="shared" si="85"/>
        <v>-63.395114320865773</v>
      </c>
      <c r="M70" s="2" t="b">
        <f>L70&lt;=-$J$128</f>
        <v>1</v>
      </c>
      <c r="N70" s="1">
        <v>91</v>
      </c>
      <c r="O70" s="4">
        <f t="shared" si="65"/>
        <v>3.3548387096774235</v>
      </c>
      <c r="P70" s="4">
        <f t="shared" si="86"/>
        <v>0</v>
      </c>
      <c r="Q70" s="2" t="b">
        <f>P70&lt;=-$N$128</f>
        <v>0</v>
      </c>
      <c r="R70" s="1">
        <v>66</v>
      </c>
      <c r="S70" s="4">
        <f t="shared" si="66"/>
        <v>-25.741935483870961</v>
      </c>
      <c r="T70" s="4">
        <f t="shared" si="87"/>
        <v>-83.894230463719268</v>
      </c>
      <c r="U70" s="2" t="b">
        <f>T70&lt;=-$R$128</f>
        <v>1</v>
      </c>
      <c r="V70" s="1">
        <v>87</v>
      </c>
      <c r="W70" s="4">
        <f t="shared" si="67"/>
        <v>0.25806451612903913</v>
      </c>
      <c r="X70" s="4">
        <f t="shared" si="88"/>
        <v>-35.821313117697734</v>
      </c>
      <c r="Y70" s="2" t="b">
        <f>X70&lt;=-$V$128</f>
        <v>1</v>
      </c>
      <c r="Z70" s="1">
        <v>88</v>
      </c>
      <c r="AA70" s="4">
        <f t="shared" si="68"/>
        <v>-1.2580645161290391</v>
      </c>
      <c r="AB70" s="4">
        <f t="shared" si="89"/>
        <v>-21.648554205202828</v>
      </c>
      <c r="AC70" s="2" t="b">
        <f>AB70&lt;=-$Z$128</f>
        <v>1</v>
      </c>
      <c r="AD70" s="1">
        <v>75</v>
      </c>
      <c r="AE70" s="4">
        <f t="shared" si="69"/>
        <v>-10.58064516129032</v>
      </c>
      <c r="AF70" s="4">
        <f t="shared" si="90"/>
        <v>-19.670596088397541</v>
      </c>
      <c r="AG70" s="8" t="b">
        <f>AF70&lt;=-$AD$128</f>
        <v>1</v>
      </c>
      <c r="AH70" s="1">
        <v>86</v>
      </c>
      <c r="AI70" s="4">
        <f t="shared" si="70"/>
        <v>-1.8387096774193594</v>
      </c>
      <c r="AJ70" s="4">
        <f t="shared" si="91"/>
        <v>-84.536863514948834</v>
      </c>
      <c r="AK70" s="2" t="b">
        <f>AJ70&lt;=-$AH$128</f>
        <v>1</v>
      </c>
      <c r="AL70" s="1">
        <v>83</v>
      </c>
      <c r="AM70" s="4">
        <f t="shared" si="71"/>
        <v>-3.9354838709677438</v>
      </c>
      <c r="AN70" s="4">
        <f t="shared" si="92"/>
        <v>-9.2003693714650279</v>
      </c>
      <c r="AO70" s="2" t="b">
        <f>AN70&lt;=-$AL$128</f>
        <v>0</v>
      </c>
      <c r="AP70" s="1">
        <v>80</v>
      </c>
      <c r="AQ70" s="4">
        <f t="shared" si="72"/>
        <v>-10.193548387096769</v>
      </c>
      <c r="AR70" s="4">
        <f t="shared" si="93"/>
        <v>-46.086287302757825</v>
      </c>
      <c r="AS70" s="2" t="b">
        <f>AR70&lt;=-$AP$128</f>
        <v>1</v>
      </c>
      <c r="AT70" s="1">
        <v>86</v>
      </c>
      <c r="AU70" s="4">
        <f t="shared" si="73"/>
        <v>-0.41935483870967971</v>
      </c>
      <c r="AV70" s="4">
        <f t="shared" si="94"/>
        <v>0</v>
      </c>
      <c r="AW70" s="2" t="b">
        <f>AV70&lt;=-$AT$128</f>
        <v>0</v>
      </c>
      <c r="AX70" s="1">
        <v>89</v>
      </c>
      <c r="AY70" s="4">
        <f t="shared" si="74"/>
        <v>-0.16129032258064058</v>
      </c>
      <c r="AZ70" s="4">
        <f t="shared" si="95"/>
        <v>-88.439063293515943</v>
      </c>
      <c r="BA70" s="2" t="b">
        <f>AZ70&lt;=-$AX$128</f>
        <v>1</v>
      </c>
      <c r="BB70" s="1">
        <v>84</v>
      </c>
      <c r="BC70" s="4">
        <f t="shared" si="75"/>
        <v>-2.6451612903225765</v>
      </c>
      <c r="BD70" s="4">
        <f t="shared" si="96"/>
        <v>-52.585308280429992</v>
      </c>
      <c r="BE70" s="2" t="b">
        <f>BD70&lt;=-$BB$128</f>
        <v>1</v>
      </c>
      <c r="BF70" s="1">
        <v>91</v>
      </c>
      <c r="BG70" s="4">
        <f t="shared" si="76"/>
        <v>-0.25806451612903913</v>
      </c>
      <c r="BH70" s="4">
        <f t="shared" si="97"/>
        <v>-13.750879659866587</v>
      </c>
      <c r="BI70" s="2" t="b">
        <f>BH70&lt;=-$BF$128</f>
        <v>0</v>
      </c>
      <c r="BJ70" s="1">
        <v>69</v>
      </c>
      <c r="BK70" s="4">
        <f t="shared" si="77"/>
        <v>-22.935483870967744</v>
      </c>
      <c r="BL70" s="4">
        <f t="shared" si="98"/>
        <v>-58.795752189025421</v>
      </c>
      <c r="BM70" s="2" t="b">
        <f>BL70&lt;=-$BJ$128</f>
        <v>1</v>
      </c>
      <c r="BN70" s="1">
        <v>92</v>
      </c>
      <c r="BO70" s="4">
        <f t="shared" si="78"/>
        <v>-2.0967741935483843</v>
      </c>
      <c r="BP70" s="4">
        <f t="shared" si="99"/>
        <v>-179.14686606879275</v>
      </c>
      <c r="BQ70" s="2" t="b">
        <f>BP70&lt;=-$BN$128</f>
        <v>1</v>
      </c>
      <c r="BR70" s="1">
        <v>88</v>
      </c>
      <c r="BS70" s="4">
        <f t="shared" si="79"/>
        <v>3.2903225806451672</v>
      </c>
      <c r="BT70" s="4">
        <f t="shared" si="100"/>
        <v>0</v>
      </c>
      <c r="BU70" s="2" t="b">
        <f>BT70&lt;=-$BR$128</f>
        <v>0</v>
      </c>
      <c r="BV70" s="1">
        <v>90</v>
      </c>
      <c r="BW70" s="2">
        <f t="shared" si="80"/>
        <v>3.3870967741935516</v>
      </c>
      <c r="BX70" s="4">
        <f t="shared" si="101"/>
        <v>0</v>
      </c>
      <c r="BY70" s="2" t="b">
        <f>BX70&lt;=-$BV$128</f>
        <v>0</v>
      </c>
      <c r="BZ70" s="1">
        <v>85</v>
      </c>
      <c r="CA70" s="2">
        <f t="shared" si="81"/>
        <v>-5.0645161290322562</v>
      </c>
      <c r="CB70" s="4">
        <f t="shared" si="102"/>
        <v>-44.564883794143633</v>
      </c>
      <c r="CC70" s="2" t="b">
        <f t="shared" si="82"/>
        <v>1</v>
      </c>
    </row>
    <row r="71" spans="1:81" x14ac:dyDescent="0.2">
      <c r="A71" s="3">
        <v>45908</v>
      </c>
      <c r="B71" s="1">
        <v>89</v>
      </c>
      <c r="C71" s="2">
        <f t="shared" si="62"/>
        <v>-2.1935483870967687</v>
      </c>
      <c r="D71" s="4">
        <f t="shared" si="83"/>
        <v>-78.161089728976577</v>
      </c>
      <c r="E71" s="2" t="b">
        <f>D71&lt;=-$B$128</f>
        <v>1</v>
      </c>
      <c r="F71" s="1">
        <v>88</v>
      </c>
      <c r="G71" s="4">
        <f t="shared" si="63"/>
        <v>0.74193548387096087</v>
      </c>
      <c r="H71" s="4">
        <f t="shared" si="84"/>
        <v>-7.2229579828836838</v>
      </c>
      <c r="I71" s="2" t="b">
        <f>H71&lt;=-$F$128</f>
        <v>0</v>
      </c>
      <c r="J71" s="1">
        <v>89</v>
      </c>
      <c r="K71" s="4">
        <f t="shared" si="64"/>
        <v>-0.70967741935483275</v>
      </c>
      <c r="L71" s="4">
        <f t="shared" si="85"/>
        <v>-62.581672416885013</v>
      </c>
      <c r="M71" s="2" t="b">
        <f>L71&lt;=-$J$128</f>
        <v>1</v>
      </c>
      <c r="N71" s="1">
        <v>91</v>
      </c>
      <c r="O71" s="4">
        <f t="shared" si="65"/>
        <v>3.3548387096774235</v>
      </c>
      <c r="P71" s="4">
        <f t="shared" si="86"/>
        <v>0</v>
      </c>
      <c r="Q71" s="2" t="b">
        <f>P71&lt;=-$N$128</f>
        <v>0</v>
      </c>
      <c r="R71" s="1">
        <v>75</v>
      </c>
      <c r="S71" s="4">
        <f t="shared" si="66"/>
        <v>-16.741935483870961</v>
      </c>
      <c r="T71" s="4">
        <f t="shared" si="87"/>
        <v>-97.882478293021407</v>
      </c>
      <c r="U71" s="2" t="b">
        <f>T71&lt;=-$R$128</f>
        <v>1</v>
      </c>
      <c r="V71" s="1">
        <v>86</v>
      </c>
      <c r="W71" s="4">
        <f t="shared" si="67"/>
        <v>-0.74193548387096087</v>
      </c>
      <c r="X71" s="4">
        <f t="shared" si="88"/>
        <v>-35.25961431021571</v>
      </c>
      <c r="Y71" s="2" t="b">
        <f>X71&lt;=-$V$128</f>
        <v>1</v>
      </c>
      <c r="Z71" s="1">
        <v>87</v>
      </c>
      <c r="AA71" s="4">
        <f t="shared" si="68"/>
        <v>-2.2580645161290391</v>
      </c>
      <c r="AB71" s="4">
        <f t="shared" si="89"/>
        <v>-22.035933722303064</v>
      </c>
      <c r="AC71" s="2" t="b">
        <f>AB71&lt;=-$Z$128</f>
        <v>1</v>
      </c>
      <c r="AD71" s="1">
        <v>81</v>
      </c>
      <c r="AE71" s="4">
        <f t="shared" si="69"/>
        <v>-4.5806451612903203</v>
      </c>
      <c r="AF71" s="4">
        <f t="shared" si="90"/>
        <v>-22.50589413259631</v>
      </c>
      <c r="AG71" s="2" t="b">
        <f>AF71&lt;=-$AD$128</f>
        <v>1</v>
      </c>
      <c r="AH71" s="1">
        <v>73</v>
      </c>
      <c r="AI71" s="4">
        <f t="shared" si="70"/>
        <v>-14.838709677419359</v>
      </c>
      <c r="AJ71" s="4">
        <f t="shared" si="91"/>
        <v>-97.825859379038192</v>
      </c>
      <c r="AK71" s="2" t="b">
        <f>AJ71&lt;=-$AH$128</f>
        <v>1</v>
      </c>
      <c r="AL71" s="1">
        <v>85</v>
      </c>
      <c r="AM71" s="4">
        <f t="shared" si="71"/>
        <v>-1.9354838709677438</v>
      </c>
      <c r="AN71" s="4">
        <f t="shared" si="92"/>
        <v>-8.9338258286200372</v>
      </c>
      <c r="AO71" s="2" t="b">
        <f>AN71&lt;=-$AL$128</f>
        <v>0</v>
      </c>
      <c r="AP71" s="1">
        <v>83</v>
      </c>
      <c r="AQ71" s="4">
        <f t="shared" si="72"/>
        <v>-7.1935483870967687</v>
      </c>
      <c r="AR71" s="4">
        <f t="shared" si="93"/>
        <v>-51.160797563570604</v>
      </c>
      <c r="AS71" s="2" t="b">
        <f>AR71&lt;=-$AP$128</f>
        <v>1</v>
      </c>
      <c r="AT71" s="1">
        <v>88</v>
      </c>
      <c r="AU71" s="4">
        <f t="shared" si="73"/>
        <v>1.5806451612903203</v>
      </c>
      <c r="AV71" s="4">
        <f t="shared" si="94"/>
        <v>0</v>
      </c>
      <c r="AW71" s="2" t="b">
        <f>AV71&lt;=-$AT$128</f>
        <v>0</v>
      </c>
      <c r="AX71" s="1">
        <v>90</v>
      </c>
      <c r="AY71" s="4">
        <f t="shared" si="74"/>
        <v>0.83870967741935942</v>
      </c>
      <c r="AZ71" s="4">
        <f t="shared" si="95"/>
        <v>-86.227420173951941</v>
      </c>
      <c r="BA71" s="2" t="b">
        <f>AZ71&lt;=-$AX$128</f>
        <v>1</v>
      </c>
      <c r="BB71" s="1">
        <v>87</v>
      </c>
      <c r="BC71" s="4">
        <f t="shared" si="75"/>
        <v>0.35483870967742348</v>
      </c>
      <c r="BD71" s="4">
        <f t="shared" si="96"/>
        <v>-50.384083970465824</v>
      </c>
      <c r="BE71" s="2" t="b">
        <f>BD71&lt;=-$BB$128</f>
        <v>1</v>
      </c>
      <c r="BF71" s="1">
        <v>93</v>
      </c>
      <c r="BG71" s="4">
        <f t="shared" si="76"/>
        <v>1.7419354838709609</v>
      </c>
      <c r="BH71" s="4">
        <f t="shared" si="97"/>
        <v>-9.9801196315221361</v>
      </c>
      <c r="BI71" s="2" t="b">
        <f>BH71&lt;=-$BF$128</f>
        <v>0</v>
      </c>
      <c r="BJ71" s="1">
        <v>73</v>
      </c>
      <c r="BK71" s="4">
        <f t="shared" si="77"/>
        <v>-18.935483870967744</v>
      </c>
      <c r="BL71" s="4">
        <f t="shared" si="98"/>
        <v>-75.99469023628177</v>
      </c>
      <c r="BM71" s="2" t="b">
        <f>BL71&lt;=-$BJ$128</f>
        <v>1</v>
      </c>
      <c r="BN71" s="1">
        <v>88</v>
      </c>
      <c r="BO71" s="4">
        <f t="shared" si="78"/>
        <v>-6.0967741935483843</v>
      </c>
      <c r="BP71" s="4">
        <f t="shared" si="99"/>
        <v>-182.95106224218682</v>
      </c>
      <c r="BQ71" s="2" t="b">
        <f>BP71&lt;=-$BN$128</f>
        <v>1</v>
      </c>
      <c r="BR71" s="1">
        <v>91</v>
      </c>
      <c r="BS71" s="4">
        <f t="shared" si="79"/>
        <v>6.2903225806451672</v>
      </c>
      <c r="BT71" s="4">
        <f t="shared" si="100"/>
        <v>0</v>
      </c>
      <c r="BU71" s="2" t="b">
        <f>BT71&lt;=-$BR$128</f>
        <v>0</v>
      </c>
      <c r="BV71" s="1">
        <v>84</v>
      </c>
      <c r="BW71" s="2">
        <f t="shared" si="80"/>
        <v>-2.6129032258064484</v>
      </c>
      <c r="BX71" s="4">
        <f t="shared" si="101"/>
        <v>-0.82089588135145264</v>
      </c>
      <c r="BY71" s="2" t="b">
        <f>BX71&lt;=-$BV$128</f>
        <v>0</v>
      </c>
      <c r="BZ71" s="1">
        <v>84</v>
      </c>
      <c r="CA71" s="2">
        <f t="shared" si="81"/>
        <v>-6.0645161290322562</v>
      </c>
      <c r="CB71" s="4">
        <f t="shared" si="102"/>
        <v>-48.850189031277608</v>
      </c>
      <c r="CC71" s="2" t="b">
        <f t="shared" si="82"/>
        <v>1</v>
      </c>
    </row>
    <row r="72" spans="1:81" x14ac:dyDescent="0.2">
      <c r="A72" s="3">
        <v>45909</v>
      </c>
      <c r="B72" s="1">
        <v>91</v>
      </c>
      <c r="C72" s="2">
        <f t="shared" si="62"/>
        <v>-0.19354838709676869</v>
      </c>
      <c r="D72" s="4">
        <f t="shared" si="83"/>
        <v>-75.903722114389112</v>
      </c>
      <c r="E72" s="2" t="b">
        <f>D72&lt;=-$B$128</f>
        <v>1</v>
      </c>
      <c r="F72" s="1">
        <v>84</v>
      </c>
      <c r="G72" s="4">
        <f t="shared" si="63"/>
        <v>-3.2580645161290391</v>
      </c>
      <c r="H72" s="4">
        <f t="shared" si="84"/>
        <v>-8.2675495794604217</v>
      </c>
      <c r="I72" s="2" t="b">
        <f>H72&lt;=-$F$128</f>
        <v>0</v>
      </c>
      <c r="J72" s="1">
        <v>79</v>
      </c>
      <c r="K72" s="4">
        <f t="shared" si="64"/>
        <v>-10.709677419354833</v>
      </c>
      <c r="L72" s="4">
        <f t="shared" si="85"/>
        <v>-71.768230512904253</v>
      </c>
      <c r="M72" s="2" t="b">
        <f>L72&lt;=-$J$128</f>
        <v>1</v>
      </c>
      <c r="N72" s="1">
        <v>77</v>
      </c>
      <c r="O72" s="4">
        <f t="shared" si="65"/>
        <v>-10.645161290322577</v>
      </c>
      <c r="P72" s="4">
        <f t="shared" si="86"/>
        <v>-7.753943590987876</v>
      </c>
      <c r="Q72" s="2" t="b">
        <f>P72&lt;=-$N$128</f>
        <v>0</v>
      </c>
      <c r="R72" s="1">
        <v>80</v>
      </c>
      <c r="S72" s="4">
        <f t="shared" si="66"/>
        <v>-11.741935483870961</v>
      </c>
      <c r="T72" s="4">
        <f t="shared" si="87"/>
        <v>-106.87072612232355</v>
      </c>
      <c r="U72" s="2" t="b">
        <f>T72&lt;=-$R$128</f>
        <v>1</v>
      </c>
      <c r="V72" s="1">
        <v>86</v>
      </c>
      <c r="W72" s="4">
        <f t="shared" si="67"/>
        <v>-0.74193548387096087</v>
      </c>
      <c r="X72" s="4">
        <f t="shared" si="88"/>
        <v>-34.697915502733686</v>
      </c>
      <c r="Y72" s="2" t="b">
        <f>X72&lt;=-$V$128</f>
        <v>1</v>
      </c>
      <c r="Z72" s="1">
        <v>91</v>
      </c>
      <c r="AA72" s="4">
        <f t="shared" si="68"/>
        <v>1.7419354838709609</v>
      </c>
      <c r="AB72" s="4">
        <f t="shared" si="89"/>
        <v>-18.423313239403299</v>
      </c>
      <c r="AC72" s="2" t="b">
        <f>AB72&lt;=-$Z$128</f>
        <v>0</v>
      </c>
      <c r="AD72" s="1">
        <v>82</v>
      </c>
      <c r="AE72" s="4">
        <f t="shared" si="69"/>
        <v>-3.5806451612903203</v>
      </c>
      <c r="AF72" s="4">
        <f t="shared" si="90"/>
        <v>-24.341192176795079</v>
      </c>
      <c r="AG72" s="2" t="b">
        <f>AF72&lt;=-$AD$128</f>
        <v>1</v>
      </c>
      <c r="AH72" s="1">
        <v>84</v>
      </c>
      <c r="AI72" s="4">
        <f t="shared" si="70"/>
        <v>-3.8387096774193594</v>
      </c>
      <c r="AJ72" s="4">
        <f t="shared" si="91"/>
        <v>-100.11485524312755</v>
      </c>
      <c r="AK72" s="2" t="b">
        <f>AJ72&lt;=-$AH$128</f>
        <v>1</v>
      </c>
      <c r="AL72" s="1">
        <v>86</v>
      </c>
      <c r="AM72" s="4">
        <f t="shared" si="71"/>
        <v>-0.93548387096774377</v>
      </c>
      <c r="AN72" s="4">
        <f t="shared" si="92"/>
        <v>-7.6672822857750464</v>
      </c>
      <c r="AO72" s="2" t="b">
        <f>AN72&lt;=-$AL$128</f>
        <v>0</v>
      </c>
      <c r="AP72" s="1">
        <v>83</v>
      </c>
      <c r="AQ72" s="4">
        <f t="shared" si="72"/>
        <v>-7.1935483870967687</v>
      </c>
      <c r="AR72" s="4">
        <f t="shared" si="93"/>
        <v>-56.235307824383383</v>
      </c>
      <c r="AS72" s="2" t="b">
        <f>AR72&lt;=-$AP$128</f>
        <v>1</v>
      </c>
      <c r="AT72" s="1">
        <v>89</v>
      </c>
      <c r="AU72" s="4">
        <f t="shared" si="73"/>
        <v>2.5806451612903203</v>
      </c>
      <c r="AV72" s="4">
        <f t="shared" si="94"/>
        <v>0</v>
      </c>
      <c r="AW72" s="2" t="b">
        <f>AV72&lt;=-$AT$128</f>
        <v>0</v>
      </c>
      <c r="AX72" s="1">
        <v>88</v>
      </c>
      <c r="AY72" s="4">
        <f t="shared" si="74"/>
        <v>-1.1612903225806406</v>
      </c>
      <c r="AZ72" s="4">
        <f t="shared" si="95"/>
        <v>-86.015777054387939</v>
      </c>
      <c r="BA72" s="2" t="b">
        <f>AZ72&lt;=-$AX$128</f>
        <v>1</v>
      </c>
      <c r="BB72" s="1">
        <v>84</v>
      </c>
      <c r="BC72" s="4">
        <f t="shared" si="75"/>
        <v>-2.6451612903225765</v>
      </c>
      <c r="BD72" s="4">
        <f t="shared" si="96"/>
        <v>-51.182859660501656</v>
      </c>
      <c r="BE72" s="2" t="b">
        <f>BD72&lt;=-$BB$128</f>
        <v>1</v>
      </c>
      <c r="BF72" s="1">
        <v>92</v>
      </c>
      <c r="BG72" s="4">
        <f t="shared" si="76"/>
        <v>0.74193548387096087</v>
      </c>
      <c r="BH72" s="4">
        <f t="shared" si="97"/>
        <v>-7.2093596031776856</v>
      </c>
      <c r="BI72" s="2" t="b">
        <f>BH72&lt;=-$BF$128</f>
        <v>0</v>
      </c>
      <c r="BJ72" s="1">
        <v>81</v>
      </c>
      <c r="BK72" s="4">
        <f t="shared" si="77"/>
        <v>-10.935483870967744</v>
      </c>
      <c r="BL72" s="4">
        <f t="shared" si="98"/>
        <v>-85.193628283538118</v>
      </c>
      <c r="BM72" s="2" t="b">
        <f>BL72&lt;=-$BJ$128</f>
        <v>1</v>
      </c>
      <c r="BN72" s="1">
        <v>83</v>
      </c>
      <c r="BO72" s="4">
        <f t="shared" si="78"/>
        <v>-11.096774193548384</v>
      </c>
      <c r="BP72" s="4">
        <f t="shared" si="99"/>
        <v>-191.7552584155809</v>
      </c>
      <c r="BQ72" s="2" t="b">
        <f>BP72&lt;=-$BN$128</f>
        <v>1</v>
      </c>
      <c r="BR72" s="1">
        <v>90</v>
      </c>
      <c r="BS72" s="4">
        <f t="shared" si="79"/>
        <v>5.2903225806451672</v>
      </c>
      <c r="BT72" s="4">
        <f t="shared" si="100"/>
        <v>0</v>
      </c>
      <c r="BU72" s="2" t="b">
        <f>BT72&lt;=-$BR$128</f>
        <v>0</v>
      </c>
      <c r="BV72" s="1">
        <v>84</v>
      </c>
      <c r="BW72" s="2">
        <f t="shared" si="80"/>
        <v>-2.6129032258064484</v>
      </c>
      <c r="BX72" s="4">
        <f t="shared" si="101"/>
        <v>-1.6417917627029051</v>
      </c>
      <c r="BY72" s="2" t="b">
        <f>BX72&lt;=-$BV$128</f>
        <v>0</v>
      </c>
      <c r="BZ72" s="1">
        <v>87</v>
      </c>
      <c r="CA72" s="2">
        <f t="shared" si="81"/>
        <v>-3.0645161290322562</v>
      </c>
      <c r="CB72" s="4">
        <f t="shared" si="102"/>
        <v>-50.135494268411584</v>
      </c>
      <c r="CC72" s="2" t="b">
        <f t="shared" si="82"/>
        <v>1</v>
      </c>
    </row>
    <row r="73" spans="1:81" x14ac:dyDescent="0.2">
      <c r="A73" s="3">
        <v>45910</v>
      </c>
      <c r="B73" s="1">
        <v>84</v>
      </c>
      <c r="C73" s="2">
        <f t="shared" si="62"/>
        <v>-7.1935483870967687</v>
      </c>
      <c r="D73" s="4">
        <f t="shared" si="83"/>
        <v>-80.646354499801646</v>
      </c>
      <c r="E73" s="2" t="b">
        <f>D73&lt;=-$B$128</f>
        <v>1</v>
      </c>
      <c r="F73" s="1">
        <v>80</v>
      </c>
      <c r="G73" s="4">
        <f t="shared" si="63"/>
        <v>-7.2580645161290391</v>
      </c>
      <c r="H73" s="4">
        <f t="shared" si="84"/>
        <v>-13.312141176037159</v>
      </c>
      <c r="I73" s="2" t="b">
        <f>H73&lt;=-$F$128</f>
        <v>0</v>
      </c>
      <c r="J73" s="1">
        <v>78</v>
      </c>
      <c r="K73" s="4">
        <f t="shared" si="64"/>
        <v>-11.709677419354833</v>
      </c>
      <c r="L73" s="4">
        <f t="shared" si="85"/>
        <v>-81.954788608923494</v>
      </c>
      <c r="M73" s="2" t="b">
        <f>L73&lt;=-$J$128</f>
        <v>1</v>
      </c>
      <c r="N73" s="1">
        <v>87</v>
      </c>
      <c r="O73" s="4">
        <f t="shared" si="65"/>
        <v>-0.64516129032257652</v>
      </c>
      <c r="P73" s="4">
        <f t="shared" si="86"/>
        <v>-5.5078871819757529</v>
      </c>
      <c r="Q73" s="2" t="b">
        <f>P73&lt;=-$N$128</f>
        <v>0</v>
      </c>
      <c r="R73" s="1">
        <v>82</v>
      </c>
      <c r="S73" s="4">
        <f t="shared" si="66"/>
        <v>-9.7419354838709609</v>
      </c>
      <c r="T73" s="4">
        <f t="shared" si="87"/>
        <v>-113.85897395162569</v>
      </c>
      <c r="U73" s="2" t="b">
        <f>T73&lt;=-$R$128</f>
        <v>1</v>
      </c>
      <c r="V73" s="1">
        <v>89</v>
      </c>
      <c r="W73" s="4">
        <f t="shared" si="67"/>
        <v>2.2580645161290391</v>
      </c>
      <c r="X73" s="4">
        <f t="shared" si="88"/>
        <v>-31.136216695251662</v>
      </c>
      <c r="Y73" s="2" t="b">
        <f>X73&lt;=-$V$128</f>
        <v>1</v>
      </c>
      <c r="Z73" s="1">
        <v>95</v>
      </c>
      <c r="AA73" s="4">
        <f t="shared" si="68"/>
        <v>5.7419354838709609</v>
      </c>
      <c r="AB73" s="4">
        <f t="shared" si="89"/>
        <v>-10.810692756503535</v>
      </c>
      <c r="AC73" s="2" t="b">
        <f>AB73&lt;=-$Z$128</f>
        <v>0</v>
      </c>
      <c r="AD73" s="1">
        <v>79</v>
      </c>
      <c r="AE73" s="4">
        <f t="shared" si="69"/>
        <v>-6.5806451612903203</v>
      </c>
      <c r="AF73" s="4">
        <f t="shared" si="90"/>
        <v>-29.176490220993848</v>
      </c>
      <c r="AG73" s="2" t="b">
        <f>AF73&lt;=-$AD$128</f>
        <v>1</v>
      </c>
      <c r="AH73" s="1">
        <v>84</v>
      </c>
      <c r="AI73" s="4">
        <f t="shared" si="70"/>
        <v>-3.8387096774193594</v>
      </c>
      <c r="AJ73" s="4">
        <f t="shared" si="91"/>
        <v>-102.40385110721691</v>
      </c>
      <c r="AK73" s="2" t="b">
        <f>AJ73&lt;=-$AH$128</f>
        <v>1</v>
      </c>
      <c r="AL73" s="1">
        <v>84</v>
      </c>
      <c r="AM73" s="4">
        <f t="shared" si="71"/>
        <v>-2.9354838709677438</v>
      </c>
      <c r="AN73" s="4">
        <f t="shared" si="92"/>
        <v>-8.4007387429300557</v>
      </c>
      <c r="AO73" s="2" t="b">
        <f>AN73&lt;=-$AL$128</f>
        <v>0</v>
      </c>
      <c r="AP73" s="1">
        <v>85</v>
      </c>
      <c r="AQ73" s="4">
        <f t="shared" si="72"/>
        <v>-5.1935483870967687</v>
      </c>
      <c r="AR73" s="4">
        <f t="shared" si="93"/>
        <v>-59.309818085196163</v>
      </c>
      <c r="AS73" s="2" t="b">
        <f>AR73&lt;=-$AP$128</f>
        <v>1</v>
      </c>
      <c r="AT73" s="1">
        <v>89</v>
      </c>
      <c r="AU73" s="4">
        <f t="shared" si="73"/>
        <v>2.5806451612903203</v>
      </c>
      <c r="AV73" s="4">
        <f t="shared" si="94"/>
        <v>0</v>
      </c>
      <c r="AW73" s="2" t="b">
        <f>AV73&lt;=-$AT$128</f>
        <v>0</v>
      </c>
      <c r="AX73" s="1">
        <v>87</v>
      </c>
      <c r="AY73" s="4">
        <f t="shared" si="74"/>
        <v>-2.1612903225806406</v>
      </c>
      <c r="AZ73" s="4">
        <f t="shared" si="95"/>
        <v>-86.804133934823938</v>
      </c>
      <c r="BA73" s="2" t="b">
        <f>AZ73&lt;=-$AX$128</f>
        <v>1</v>
      </c>
      <c r="BB73" s="1">
        <v>80</v>
      </c>
      <c r="BC73" s="4">
        <f t="shared" si="75"/>
        <v>-6.6451612903225765</v>
      </c>
      <c r="BD73" s="4">
        <f t="shared" si="96"/>
        <v>-55.981635350537488</v>
      </c>
      <c r="BE73" s="2" t="b">
        <f>BD73&lt;=-$BB$128</f>
        <v>1</v>
      </c>
      <c r="BF73" s="1">
        <v>94</v>
      </c>
      <c r="BG73" s="4">
        <f t="shared" si="76"/>
        <v>2.7419354838709609</v>
      </c>
      <c r="BH73" s="4">
        <f t="shared" si="97"/>
        <v>-2.4385995748332352</v>
      </c>
      <c r="BI73" s="2" t="b">
        <f>BH73&lt;=-$BF$128</f>
        <v>0</v>
      </c>
      <c r="BJ73" s="1">
        <v>84</v>
      </c>
      <c r="BK73" s="4">
        <f t="shared" si="77"/>
        <v>-7.9354838709677438</v>
      </c>
      <c r="BL73" s="4">
        <f t="shared" si="98"/>
        <v>-91.392566330794466</v>
      </c>
      <c r="BM73" s="2" t="b">
        <f>BL73&lt;=-$BJ$128</f>
        <v>1</v>
      </c>
      <c r="BN73" s="1">
        <v>84</v>
      </c>
      <c r="BO73" s="4">
        <f t="shared" si="78"/>
        <v>-10.096774193548384</v>
      </c>
      <c r="BP73" s="4">
        <f t="shared" si="99"/>
        <v>-199.55945458897497</v>
      </c>
      <c r="BQ73" s="2" t="b">
        <f>BP73&lt;=-$BN$128</f>
        <v>1</v>
      </c>
      <c r="BR73" s="1">
        <v>89</v>
      </c>
      <c r="BS73" s="4">
        <f t="shared" si="79"/>
        <v>4.2903225806451672</v>
      </c>
      <c r="BT73" s="4">
        <f t="shared" si="100"/>
        <v>0</v>
      </c>
      <c r="BU73" s="2" t="b">
        <f>BT73&lt;=-$BR$128</f>
        <v>0</v>
      </c>
      <c r="BV73" s="1">
        <v>86</v>
      </c>
      <c r="BW73" s="2">
        <f t="shared" si="80"/>
        <v>-0.6129032258064484</v>
      </c>
      <c r="BX73" s="4">
        <f t="shared" si="101"/>
        <v>-0.46268764405435747</v>
      </c>
      <c r="BY73" s="2" t="b">
        <f>BX73&lt;=-$BV$128</f>
        <v>0</v>
      </c>
      <c r="BZ73" s="1">
        <v>85</v>
      </c>
      <c r="CA73" s="2">
        <f t="shared" si="81"/>
        <v>-5.0645161290322562</v>
      </c>
      <c r="CB73" s="4">
        <f t="shared" si="102"/>
        <v>-53.42079950554556</v>
      </c>
      <c r="CC73" s="2" t="b">
        <f t="shared" si="82"/>
        <v>1</v>
      </c>
    </row>
    <row r="74" spans="1:81" x14ac:dyDescent="0.2">
      <c r="A74" s="3">
        <v>45911</v>
      </c>
      <c r="B74" s="1">
        <v>86</v>
      </c>
      <c r="C74" s="2">
        <f t="shared" si="62"/>
        <v>-5.1935483870967687</v>
      </c>
      <c r="D74" s="4">
        <f t="shared" si="83"/>
        <v>-83.38898688521418</v>
      </c>
      <c r="E74" s="2" t="b">
        <f>D74&lt;=-$B$128</f>
        <v>1</v>
      </c>
      <c r="F74" s="1">
        <v>82</v>
      </c>
      <c r="G74" s="4">
        <f t="shared" si="63"/>
        <v>-5.2580645161290391</v>
      </c>
      <c r="H74" s="4">
        <f t="shared" si="84"/>
        <v>-16.356732772613896</v>
      </c>
      <c r="I74" s="2" t="b">
        <f>H74&lt;=-$F$128</f>
        <v>0</v>
      </c>
      <c r="J74" s="1">
        <v>81</v>
      </c>
      <c r="K74" s="4">
        <f t="shared" si="64"/>
        <v>-8.7096774193548328</v>
      </c>
      <c r="L74" s="4">
        <f t="shared" si="85"/>
        <v>-89.141346704942734</v>
      </c>
      <c r="M74" s="2" t="b">
        <f>L74&lt;=-$J$128</f>
        <v>1</v>
      </c>
      <c r="N74" s="1">
        <v>87</v>
      </c>
      <c r="O74" s="4">
        <f t="shared" si="65"/>
        <v>-0.64516129032257652</v>
      </c>
      <c r="P74" s="4">
        <f t="shared" si="86"/>
        <v>-3.2618307729636289</v>
      </c>
      <c r="Q74" s="2" t="b">
        <f>P74&lt;=-$N$128</f>
        <v>0</v>
      </c>
      <c r="R74" s="1">
        <v>84</v>
      </c>
      <c r="S74" s="4">
        <f t="shared" si="66"/>
        <v>-7.7419354838709609</v>
      </c>
      <c r="T74" s="4">
        <f t="shared" si="87"/>
        <v>-118.84722178092782</v>
      </c>
      <c r="U74" s="2" t="b">
        <f>T74&lt;=-$R$128</f>
        <v>1</v>
      </c>
      <c r="V74" s="1">
        <v>87</v>
      </c>
      <c r="W74" s="4">
        <f t="shared" si="67"/>
        <v>0.25806451612903913</v>
      </c>
      <c r="X74" s="4">
        <f t="shared" si="88"/>
        <v>-29.574517887769638</v>
      </c>
      <c r="Y74" s="2" t="b">
        <f>X74&lt;=-$V$128</f>
        <v>1</v>
      </c>
      <c r="Z74" s="1">
        <v>95</v>
      </c>
      <c r="AA74" s="4">
        <f t="shared" si="68"/>
        <v>5.7419354838709609</v>
      </c>
      <c r="AB74" s="4">
        <f t="shared" si="89"/>
        <v>-3.1980722736037706</v>
      </c>
      <c r="AC74" s="2" t="b">
        <f>AB74&lt;=-$Z$128</f>
        <v>0</v>
      </c>
      <c r="AD74" s="1">
        <v>80</v>
      </c>
      <c r="AE74" s="4">
        <f t="shared" si="69"/>
        <v>-5.5806451612903203</v>
      </c>
      <c r="AF74" s="4">
        <f t="shared" si="90"/>
        <v>-33.011788265192621</v>
      </c>
      <c r="AG74" s="2" t="b">
        <f>AF74&lt;=-$AD$128</f>
        <v>1</v>
      </c>
      <c r="AH74" s="1">
        <v>84</v>
      </c>
      <c r="AI74" s="4">
        <f t="shared" si="70"/>
        <v>-3.8387096774193594</v>
      </c>
      <c r="AJ74" s="4">
        <f t="shared" si="91"/>
        <v>-104.69284697130627</v>
      </c>
      <c r="AK74" s="2" t="b">
        <f>AJ74&lt;=-$AH$128</f>
        <v>1</v>
      </c>
      <c r="AL74" s="1">
        <v>84</v>
      </c>
      <c r="AM74" s="4">
        <f t="shared" si="71"/>
        <v>-2.9354838709677438</v>
      </c>
      <c r="AN74" s="4">
        <f t="shared" si="92"/>
        <v>-9.134195200085065</v>
      </c>
      <c r="AO74" s="2" t="b">
        <f>AN74&lt;=-$AL$128</f>
        <v>0</v>
      </c>
      <c r="AP74" s="1">
        <v>84</v>
      </c>
      <c r="AQ74" s="4">
        <f t="shared" si="72"/>
        <v>-6.1935483870967687</v>
      </c>
      <c r="AR74" s="4">
        <f t="shared" si="93"/>
        <v>-63.384328346008935</v>
      </c>
      <c r="AS74" s="2" t="b">
        <f>AR74&lt;=-$AP$128</f>
        <v>1</v>
      </c>
      <c r="AT74" s="1">
        <v>89</v>
      </c>
      <c r="AU74" s="4">
        <f t="shared" si="73"/>
        <v>2.5806451612903203</v>
      </c>
      <c r="AV74" s="4">
        <f t="shared" si="94"/>
        <v>0</v>
      </c>
      <c r="AW74" s="2" t="b">
        <f>AV74&lt;=-$AT$128</f>
        <v>0</v>
      </c>
      <c r="AX74" s="1">
        <v>83</v>
      </c>
      <c r="AY74" s="4">
        <f t="shared" si="74"/>
        <v>-6.1612903225806406</v>
      </c>
      <c r="AZ74" s="4">
        <f t="shared" si="95"/>
        <v>-91.592490815259936</v>
      </c>
      <c r="BA74" s="2" t="b">
        <f>AZ74&lt;=-$AX$128</f>
        <v>1</v>
      </c>
      <c r="BB74" s="1">
        <v>75</v>
      </c>
      <c r="BC74" s="4">
        <f t="shared" si="75"/>
        <v>-11.645161290322577</v>
      </c>
      <c r="BD74" s="4">
        <f t="shared" si="96"/>
        <v>-65.780411040573327</v>
      </c>
      <c r="BE74" s="2" t="b">
        <f>BD74&lt;=-$BB$128</f>
        <v>1</v>
      </c>
      <c r="BF74" s="1">
        <v>96</v>
      </c>
      <c r="BG74" s="4">
        <f t="shared" si="76"/>
        <v>4.7419354838709609</v>
      </c>
      <c r="BH74" s="4">
        <f t="shared" si="97"/>
        <v>0</v>
      </c>
      <c r="BI74" s="2" t="b">
        <f>BH74&lt;=-$BF$128</f>
        <v>0</v>
      </c>
      <c r="BJ74" s="1">
        <v>86</v>
      </c>
      <c r="BK74" s="4">
        <f t="shared" si="77"/>
        <v>-5.9354838709677438</v>
      </c>
      <c r="BL74" s="4">
        <f t="shared" si="98"/>
        <v>-95.591504378050814</v>
      </c>
      <c r="BM74" s="2" t="b">
        <f>BL74&lt;=-$BJ$128</f>
        <v>1</v>
      </c>
      <c r="BN74" s="1">
        <v>83</v>
      </c>
      <c r="BO74" s="4">
        <f t="shared" si="78"/>
        <v>-11.096774193548384</v>
      </c>
      <c r="BP74" s="4">
        <f t="shared" si="99"/>
        <v>-208.36365076236905</v>
      </c>
      <c r="BQ74" s="2" t="b">
        <f>BP74&lt;=-$BN$128</f>
        <v>1</v>
      </c>
      <c r="BR74" s="1">
        <v>89</v>
      </c>
      <c r="BS74" s="4">
        <f t="shared" si="79"/>
        <v>4.2903225806451672</v>
      </c>
      <c r="BT74" s="4">
        <f t="shared" si="100"/>
        <v>0</v>
      </c>
      <c r="BU74" s="2" t="b">
        <f>BT74&lt;=-$BR$128</f>
        <v>0</v>
      </c>
      <c r="BV74" s="1">
        <v>90</v>
      </c>
      <c r="BW74" s="2">
        <f t="shared" si="80"/>
        <v>3.3870967741935516</v>
      </c>
      <c r="BX74" s="4">
        <f t="shared" si="101"/>
        <v>0</v>
      </c>
      <c r="BY74" s="2" t="b">
        <f>BX74&lt;=-$BV$128</f>
        <v>0</v>
      </c>
      <c r="BZ74" s="1">
        <v>86</v>
      </c>
      <c r="CA74" s="2">
        <f t="shared" si="81"/>
        <v>-4.0645161290322562</v>
      </c>
      <c r="CB74" s="4">
        <f t="shared" si="102"/>
        <v>-55.706104742679535</v>
      </c>
      <c r="CC74" s="2" t="b">
        <f t="shared" si="82"/>
        <v>1</v>
      </c>
    </row>
    <row r="75" spans="1:81" x14ac:dyDescent="0.2">
      <c r="A75" s="3">
        <v>45912</v>
      </c>
      <c r="B75" s="1">
        <v>88</v>
      </c>
      <c r="C75" s="2">
        <f t="shared" si="62"/>
        <v>-3.1935483870967687</v>
      </c>
      <c r="D75" s="4">
        <f t="shared" si="83"/>
        <v>-84.131619270626715</v>
      </c>
      <c r="E75" s="2" t="b">
        <f>D75&lt;=-$B$128</f>
        <v>1</v>
      </c>
      <c r="F75" s="1">
        <v>86</v>
      </c>
      <c r="G75" s="4">
        <f t="shared" si="63"/>
        <v>-1.2580645161290391</v>
      </c>
      <c r="H75" s="4">
        <f t="shared" si="84"/>
        <v>-15.401324369190633</v>
      </c>
      <c r="I75" s="2" t="b">
        <f>H75&lt;=-$F$128</f>
        <v>0</v>
      </c>
      <c r="J75" s="1">
        <v>84</v>
      </c>
      <c r="K75" s="4">
        <f t="shared" si="64"/>
        <v>-5.7096774193548328</v>
      </c>
      <c r="L75" s="4">
        <f t="shared" si="85"/>
        <v>-93.327904800961974</v>
      </c>
      <c r="M75" s="2" t="b">
        <f>L75&lt;=-$J$128</f>
        <v>1</v>
      </c>
      <c r="N75" s="1">
        <v>87</v>
      </c>
      <c r="O75" s="4">
        <f t="shared" si="65"/>
        <v>-0.64516129032257652</v>
      </c>
      <c r="P75" s="4">
        <f t="shared" si="86"/>
        <v>-1.0157743639515049</v>
      </c>
      <c r="Q75" s="2" t="b">
        <f>P75&lt;=-$N$128</f>
        <v>0</v>
      </c>
      <c r="R75" s="1">
        <v>86</v>
      </c>
      <c r="S75" s="4">
        <f t="shared" si="66"/>
        <v>-5.7419354838709609</v>
      </c>
      <c r="T75" s="4">
        <f t="shared" si="87"/>
        <v>-121.83546961022996</v>
      </c>
      <c r="U75" s="2" t="b">
        <f>T75&lt;=-$R$128</f>
        <v>1</v>
      </c>
      <c r="V75" s="1">
        <v>84</v>
      </c>
      <c r="W75" s="4">
        <f t="shared" si="67"/>
        <v>-2.7419354838709609</v>
      </c>
      <c r="X75" s="4">
        <f t="shared" si="88"/>
        <v>-31.012819080287613</v>
      </c>
      <c r="Y75" s="2" t="b">
        <f>X75&lt;=-$V$128</f>
        <v>1</v>
      </c>
      <c r="Z75" s="1">
        <v>90</v>
      </c>
      <c r="AA75" s="4">
        <f t="shared" si="68"/>
        <v>0.74193548387096087</v>
      </c>
      <c r="AB75" s="4">
        <f t="shared" si="89"/>
        <v>-0.58545179070400599</v>
      </c>
      <c r="AC75" s="2" t="b">
        <f>AB75&lt;=-$Z$128</f>
        <v>0</v>
      </c>
      <c r="AD75" s="1">
        <v>81</v>
      </c>
      <c r="AE75" s="4">
        <f t="shared" si="69"/>
        <v>-4.5806451612903203</v>
      </c>
      <c r="AF75" s="4">
        <f t="shared" si="90"/>
        <v>-35.847086309391393</v>
      </c>
      <c r="AG75" s="2" t="b">
        <f>AF75&lt;=-$AD$128</f>
        <v>1</v>
      </c>
      <c r="AH75" s="1">
        <v>81</v>
      </c>
      <c r="AI75" s="4">
        <f t="shared" si="70"/>
        <v>-6.8387096774193594</v>
      </c>
      <c r="AJ75" s="4">
        <f t="shared" si="91"/>
        <v>-109.98184283539563</v>
      </c>
      <c r="AK75" s="2" t="b">
        <f>AJ75&lt;=-$AH$128</f>
        <v>1</v>
      </c>
      <c r="AL75" s="1">
        <v>86</v>
      </c>
      <c r="AM75" s="4">
        <f t="shared" si="71"/>
        <v>-0.93548387096774377</v>
      </c>
      <c r="AN75" s="4">
        <f t="shared" si="92"/>
        <v>-7.8676516572400743</v>
      </c>
      <c r="AO75" s="2" t="b">
        <f>AN75&lt;=-$AL$128</f>
        <v>0</v>
      </c>
      <c r="AP75" s="1">
        <v>82</v>
      </c>
      <c r="AQ75" s="4">
        <f t="shared" si="72"/>
        <v>-8.1935483870967687</v>
      </c>
      <c r="AR75" s="4">
        <f t="shared" si="93"/>
        <v>-69.458838606821729</v>
      </c>
      <c r="AS75" s="2" t="b">
        <f>AR75&lt;=-$AP$128</f>
        <v>1</v>
      </c>
      <c r="AT75" s="1">
        <v>86</v>
      </c>
      <c r="AU75" s="4">
        <f t="shared" si="73"/>
        <v>-0.41935483870967971</v>
      </c>
      <c r="AV75" s="4">
        <f t="shared" si="94"/>
        <v>0</v>
      </c>
      <c r="AW75" s="2" t="b">
        <f>AV75&lt;=-$AT$128</f>
        <v>0</v>
      </c>
      <c r="AX75" s="1">
        <v>87</v>
      </c>
      <c r="AY75" s="4">
        <f t="shared" si="74"/>
        <v>-2.1612903225806406</v>
      </c>
      <c r="AZ75" s="4">
        <f t="shared" si="95"/>
        <v>-92.380847695695934</v>
      </c>
      <c r="BA75" s="2" t="b">
        <f>AZ75&lt;=-$AX$128</f>
        <v>1</v>
      </c>
      <c r="BB75" s="1">
        <v>81</v>
      </c>
      <c r="BC75" s="4">
        <f t="shared" si="75"/>
        <v>-5.6451612903225765</v>
      </c>
      <c r="BD75" s="4">
        <f t="shared" si="96"/>
        <v>-69.579186730609166</v>
      </c>
      <c r="BE75" s="2" t="b">
        <f>BD75&lt;=-$BB$128</f>
        <v>1</v>
      </c>
      <c r="BF75" s="1">
        <v>89</v>
      </c>
      <c r="BG75" s="4">
        <f t="shared" si="76"/>
        <v>-2.2580645161290391</v>
      </c>
      <c r="BH75" s="4">
        <f t="shared" si="97"/>
        <v>-0.22923997165554955</v>
      </c>
      <c r="BI75" s="2" t="b">
        <f>BH75&lt;=-$BF$128</f>
        <v>0</v>
      </c>
      <c r="BJ75" s="1">
        <v>87</v>
      </c>
      <c r="BK75" s="4">
        <f t="shared" si="77"/>
        <v>-4.9354838709677438</v>
      </c>
      <c r="BL75" s="4">
        <f t="shared" si="98"/>
        <v>-98.790442425307162</v>
      </c>
      <c r="BM75" s="2" t="b">
        <f>BL75&lt;=-$BJ$128</f>
        <v>1</v>
      </c>
      <c r="BN75" s="1">
        <v>81</v>
      </c>
      <c r="BO75" s="4">
        <f t="shared" si="78"/>
        <v>-13.096774193548384</v>
      </c>
      <c r="BP75" s="4">
        <f t="shared" si="99"/>
        <v>-219.16784693576312</v>
      </c>
      <c r="BQ75" s="2" t="b">
        <f>BP75&lt;=-$BN$128</f>
        <v>1</v>
      </c>
      <c r="BR75" s="1">
        <v>90</v>
      </c>
      <c r="BS75" s="4">
        <f t="shared" si="79"/>
        <v>5.2903225806451672</v>
      </c>
      <c r="BT75" s="4">
        <f t="shared" si="100"/>
        <v>0</v>
      </c>
      <c r="BU75" s="2" t="b">
        <f>BT75&lt;=-$BR$128</f>
        <v>0</v>
      </c>
      <c r="BV75" s="1">
        <v>92</v>
      </c>
      <c r="BW75" s="2">
        <f t="shared" si="80"/>
        <v>5.3870967741935516</v>
      </c>
      <c r="BX75" s="4">
        <f t="shared" si="101"/>
        <v>0</v>
      </c>
      <c r="BY75" s="2" t="b">
        <f>BX75&lt;=-$BV$128</f>
        <v>0</v>
      </c>
      <c r="BZ75" s="1">
        <v>78</v>
      </c>
      <c r="CA75" s="2">
        <f t="shared" si="81"/>
        <v>-12.064516129032256</v>
      </c>
      <c r="CB75" s="4">
        <f t="shared" si="102"/>
        <v>-65.991409979813525</v>
      </c>
      <c r="CC75" s="2" t="b">
        <f t="shared" si="82"/>
        <v>1</v>
      </c>
    </row>
    <row r="76" spans="1:81" x14ac:dyDescent="0.2">
      <c r="A76" s="3">
        <v>45913</v>
      </c>
      <c r="B76" s="1">
        <v>78</v>
      </c>
      <c r="C76" s="2">
        <f t="shared" si="62"/>
        <v>-13.193548387096769</v>
      </c>
      <c r="D76" s="4">
        <f t="shared" si="83"/>
        <v>-94.874251656039249</v>
      </c>
      <c r="E76" s="2" t="b">
        <f>D76&lt;=-$B$128</f>
        <v>1</v>
      </c>
      <c r="F76" s="1">
        <v>87</v>
      </c>
      <c r="G76" s="4">
        <f t="shared" si="63"/>
        <v>-0.25806451612903913</v>
      </c>
      <c r="H76" s="4">
        <f t="shared" si="84"/>
        <v>-13.445915965767369</v>
      </c>
      <c r="I76" s="2" t="b">
        <f>H76&lt;=-$F$128</f>
        <v>0</v>
      </c>
      <c r="J76" s="1">
        <v>89</v>
      </c>
      <c r="K76" s="4">
        <f t="shared" si="64"/>
        <v>-0.70967741935483275</v>
      </c>
      <c r="L76" s="4">
        <f t="shared" si="85"/>
        <v>-92.514462896981215</v>
      </c>
      <c r="M76" s="2" t="b">
        <f>L76&lt;=-$J$128</f>
        <v>1</v>
      </c>
      <c r="N76" s="1">
        <v>86</v>
      </c>
      <c r="O76" s="4">
        <f t="shared" si="65"/>
        <v>-1.6451612903225765</v>
      </c>
      <c r="P76" s="4">
        <f t="shared" si="86"/>
        <v>0</v>
      </c>
      <c r="Q76" s="2" t="b">
        <f>P76&lt;=-$N$128</f>
        <v>0</v>
      </c>
      <c r="R76" s="1">
        <v>87</v>
      </c>
      <c r="S76" s="4">
        <f t="shared" si="66"/>
        <v>-4.7419354838709609</v>
      </c>
      <c r="T76" s="4">
        <f t="shared" si="87"/>
        <v>-123.8237174395321</v>
      </c>
      <c r="U76" s="2" t="b">
        <f>T76&lt;=-$R$128</f>
        <v>1</v>
      </c>
      <c r="V76" s="1">
        <v>84</v>
      </c>
      <c r="W76" s="4">
        <f t="shared" si="67"/>
        <v>-2.7419354838709609</v>
      </c>
      <c r="X76" s="4">
        <f t="shared" si="88"/>
        <v>-32.451120272805589</v>
      </c>
      <c r="Y76" s="2" t="b">
        <f>X76&lt;=-$V$128</f>
        <v>1</v>
      </c>
      <c r="Z76" s="1">
        <v>75</v>
      </c>
      <c r="AA76" s="4">
        <f t="shared" si="68"/>
        <v>-14.258064516129039</v>
      </c>
      <c r="AB76" s="4">
        <f t="shared" si="89"/>
        <v>-12.972831307804242</v>
      </c>
      <c r="AC76" s="2" t="b">
        <f>AB76&lt;=-$Z$128</f>
        <v>0</v>
      </c>
      <c r="AD76" s="1">
        <v>84</v>
      </c>
      <c r="AE76" s="4">
        <f t="shared" si="69"/>
        <v>-1.5806451612903203</v>
      </c>
      <c r="AF76" s="4">
        <f t="shared" si="90"/>
        <v>-35.682384353590166</v>
      </c>
      <c r="AG76" s="2" t="b">
        <f>AF76&lt;=-$AD$128</f>
        <v>1</v>
      </c>
      <c r="AH76" s="1">
        <v>79</v>
      </c>
      <c r="AI76" s="4">
        <f t="shared" si="70"/>
        <v>-8.8387096774193594</v>
      </c>
      <c r="AJ76" s="4">
        <f t="shared" si="91"/>
        <v>-117.27083869948498</v>
      </c>
      <c r="AK76" s="2" t="b">
        <f>AJ76&lt;=-$AH$128</f>
        <v>1</v>
      </c>
      <c r="AL76" s="1">
        <v>88</v>
      </c>
      <c r="AM76" s="4">
        <f t="shared" si="71"/>
        <v>1.0645161290322562</v>
      </c>
      <c r="AN76" s="4">
        <f t="shared" si="92"/>
        <v>-4.6011081143950836</v>
      </c>
      <c r="AO76" s="2" t="b">
        <f>AN76&lt;=-$AL$128</f>
        <v>0</v>
      </c>
      <c r="AP76" s="1">
        <v>70</v>
      </c>
      <c r="AQ76" s="4">
        <f t="shared" si="72"/>
        <v>-20.193548387096769</v>
      </c>
      <c r="AR76" s="4">
        <f t="shared" si="93"/>
        <v>-87.533348867634515</v>
      </c>
      <c r="AS76" s="2" t="b">
        <f>AR76&lt;=-$AP$128</f>
        <v>1</v>
      </c>
      <c r="AT76" s="1">
        <v>85</v>
      </c>
      <c r="AU76" s="4">
        <f t="shared" si="73"/>
        <v>-1.4193548387096797</v>
      </c>
      <c r="AV76" s="4">
        <f t="shared" si="94"/>
        <v>0</v>
      </c>
      <c r="AW76" s="2" t="b">
        <f>AV76&lt;=-$AT$128</f>
        <v>0</v>
      </c>
      <c r="AX76" s="1">
        <v>86</v>
      </c>
      <c r="AY76" s="4">
        <f t="shared" si="74"/>
        <v>-3.1612903225806406</v>
      </c>
      <c r="AZ76" s="4">
        <f t="shared" si="95"/>
        <v>-94.169204576131932</v>
      </c>
      <c r="BA76" s="2" t="b">
        <f>AZ76&lt;=-$AX$128</f>
        <v>1</v>
      </c>
      <c r="BB76" s="1">
        <v>80</v>
      </c>
      <c r="BC76" s="4">
        <f t="shared" si="75"/>
        <v>-6.6451612903225765</v>
      </c>
      <c r="BD76" s="4">
        <f t="shared" si="96"/>
        <v>-74.377962420645005</v>
      </c>
      <c r="BE76" s="2" t="b">
        <f>BD76&lt;=-$BB$128</f>
        <v>1</v>
      </c>
      <c r="BF76" s="1">
        <v>86</v>
      </c>
      <c r="BG76" s="4">
        <f t="shared" si="76"/>
        <v>-5.2580645161290391</v>
      </c>
      <c r="BH76" s="4">
        <f t="shared" si="97"/>
        <v>-3.4584799433110991</v>
      </c>
      <c r="BI76" s="2" t="b">
        <f>BH76&lt;=-$BF$128</f>
        <v>0</v>
      </c>
      <c r="BJ76" s="1">
        <v>89</v>
      </c>
      <c r="BK76" s="4">
        <f t="shared" si="77"/>
        <v>-2.9354838709677438</v>
      </c>
      <c r="BL76" s="4">
        <f t="shared" si="98"/>
        <v>-99.989380472563511</v>
      </c>
      <c r="BM76" s="2" t="b">
        <f>BL76&lt;=-$BJ$128</f>
        <v>1</v>
      </c>
      <c r="BN76" s="1">
        <v>81</v>
      </c>
      <c r="BO76" s="4">
        <f t="shared" si="78"/>
        <v>-13.096774193548384</v>
      </c>
      <c r="BP76" s="4">
        <f t="shared" si="99"/>
        <v>-229.9720431091572</v>
      </c>
      <c r="BQ76" s="2" t="b">
        <f>BP76&lt;=-$BN$128</f>
        <v>1</v>
      </c>
      <c r="BR76" s="1">
        <v>87</v>
      </c>
      <c r="BS76" s="4">
        <f t="shared" si="79"/>
        <v>2.2903225806451672</v>
      </c>
      <c r="BT76" s="4">
        <f t="shared" si="100"/>
        <v>0</v>
      </c>
      <c r="BU76" s="2" t="b">
        <f>BT76&lt;=-$BR$128</f>
        <v>0</v>
      </c>
      <c r="BV76" s="1">
        <v>86</v>
      </c>
      <c r="BW76" s="2">
        <f t="shared" si="80"/>
        <v>-0.6129032258064484</v>
      </c>
      <c r="BX76" s="4">
        <f t="shared" si="101"/>
        <v>0</v>
      </c>
      <c r="BY76" s="2" t="b">
        <f>BX76&lt;=-$BV$128</f>
        <v>0</v>
      </c>
      <c r="BZ76" s="1">
        <v>75</v>
      </c>
      <c r="CA76" s="2">
        <f t="shared" si="81"/>
        <v>-15.064516129032256</v>
      </c>
      <c r="CB76" s="4">
        <f t="shared" si="102"/>
        <v>-79.276715216947508</v>
      </c>
      <c r="CC76" s="2" t="b">
        <f t="shared" si="82"/>
        <v>1</v>
      </c>
    </row>
    <row r="77" spans="1:81" x14ac:dyDescent="0.2">
      <c r="A77" s="3">
        <v>45914</v>
      </c>
      <c r="B77" s="1">
        <v>79</v>
      </c>
      <c r="C77" s="2">
        <f t="shared" si="62"/>
        <v>-12.193548387096769</v>
      </c>
      <c r="D77" s="4">
        <f t="shared" si="83"/>
        <v>-104.61688404145178</v>
      </c>
      <c r="E77" s="2" t="b">
        <f>D77&lt;=-$B$128</f>
        <v>1</v>
      </c>
      <c r="F77" s="1">
        <v>87</v>
      </c>
      <c r="G77" s="4">
        <f t="shared" si="63"/>
        <v>-0.25806451612903913</v>
      </c>
      <c r="H77" s="4">
        <f t="shared" si="84"/>
        <v>-11.490507562344106</v>
      </c>
      <c r="I77" s="2" t="b">
        <f>H77&lt;=-$F$128</f>
        <v>0</v>
      </c>
      <c r="J77" s="1">
        <v>87</v>
      </c>
      <c r="K77" s="4">
        <f t="shared" si="64"/>
        <v>-2.7096774193548328</v>
      </c>
      <c r="L77" s="4">
        <f t="shared" si="85"/>
        <v>-93.701020993000455</v>
      </c>
      <c r="M77" s="2" t="b">
        <f>L77&lt;=-$J$128</f>
        <v>1</v>
      </c>
      <c r="N77" s="1">
        <v>87</v>
      </c>
      <c r="O77" s="4">
        <f t="shared" si="65"/>
        <v>-0.64516129032257652</v>
      </c>
      <c r="P77" s="4">
        <f t="shared" si="86"/>
        <v>0</v>
      </c>
      <c r="Q77" s="2" t="b">
        <f>P77&lt;=-$N$128</f>
        <v>0</v>
      </c>
      <c r="R77" s="1">
        <v>86</v>
      </c>
      <c r="S77" s="4">
        <f t="shared" si="66"/>
        <v>-5.7419354838709609</v>
      </c>
      <c r="T77" s="4">
        <f t="shared" si="87"/>
        <v>-126.81196526883424</v>
      </c>
      <c r="U77" s="2" t="b">
        <f>T77&lt;=-$R$128</f>
        <v>1</v>
      </c>
      <c r="V77" s="1">
        <v>86</v>
      </c>
      <c r="W77" s="4">
        <f t="shared" si="67"/>
        <v>-0.74193548387096087</v>
      </c>
      <c r="X77" s="4">
        <f t="shared" si="88"/>
        <v>-31.889421465323565</v>
      </c>
      <c r="Y77" s="2" t="b">
        <f>X77&lt;=-$V$128</f>
        <v>1</v>
      </c>
      <c r="Z77" s="1">
        <v>78</v>
      </c>
      <c r="AA77" s="4">
        <f t="shared" si="68"/>
        <v>-11.258064516129039</v>
      </c>
      <c r="AB77" s="4">
        <f t="shared" si="89"/>
        <v>-22.360210824904478</v>
      </c>
      <c r="AC77" s="2" t="b">
        <f>AB77&lt;=-$Z$128</f>
        <v>1</v>
      </c>
      <c r="AD77" s="1">
        <v>82</v>
      </c>
      <c r="AE77" s="4">
        <f t="shared" si="69"/>
        <v>-3.5806451612903203</v>
      </c>
      <c r="AF77" s="4">
        <f t="shared" si="90"/>
        <v>-37.517682397788938</v>
      </c>
      <c r="AG77" s="2" t="b">
        <f>AF77&lt;=-$AD$128</f>
        <v>1</v>
      </c>
      <c r="AH77" s="1">
        <v>79</v>
      </c>
      <c r="AI77" s="4">
        <f t="shared" si="70"/>
        <v>-8.8387096774193594</v>
      </c>
      <c r="AJ77" s="4">
        <f t="shared" si="91"/>
        <v>-124.55983456357434</v>
      </c>
      <c r="AK77" s="2" t="b">
        <f>AJ77&lt;=-$AH$128</f>
        <v>1</v>
      </c>
      <c r="AL77" s="1">
        <v>88</v>
      </c>
      <c r="AM77" s="4">
        <f t="shared" si="71"/>
        <v>1.0645161290322562</v>
      </c>
      <c r="AN77" s="4">
        <f t="shared" si="92"/>
        <v>-1.3345645715500929</v>
      </c>
      <c r="AO77" s="2" t="b">
        <f>AN77&lt;=-$AL$128</f>
        <v>0</v>
      </c>
      <c r="AP77" s="1">
        <v>80</v>
      </c>
      <c r="AQ77" s="4">
        <f t="shared" si="72"/>
        <v>-10.193548387096769</v>
      </c>
      <c r="AR77" s="4">
        <f t="shared" si="93"/>
        <v>-95.607859128447302</v>
      </c>
      <c r="AS77" s="2" t="b">
        <f>AR77&lt;=-$AP$128</f>
        <v>1</v>
      </c>
      <c r="AT77" s="1">
        <v>81</v>
      </c>
      <c r="AU77" s="4">
        <f t="shared" si="73"/>
        <v>-5.4193548387096797</v>
      </c>
      <c r="AV77" s="4">
        <f t="shared" si="94"/>
        <v>-3.7421836411849752</v>
      </c>
      <c r="AW77" s="2" t="b">
        <f>AV77&lt;=-$AT$128</f>
        <v>0</v>
      </c>
      <c r="AX77" s="1">
        <v>88</v>
      </c>
      <c r="AY77" s="4">
        <f t="shared" si="74"/>
        <v>-1.1612903225806406</v>
      </c>
      <c r="AZ77" s="4">
        <f t="shared" si="95"/>
        <v>-93.95756145656793</v>
      </c>
      <c r="BA77" s="2" t="b">
        <f>AZ77&lt;=-$AX$128</f>
        <v>1</v>
      </c>
      <c r="BB77" s="1">
        <v>82</v>
      </c>
      <c r="BC77" s="4">
        <f t="shared" si="75"/>
        <v>-4.6451612903225765</v>
      </c>
      <c r="BD77" s="4">
        <f t="shared" si="96"/>
        <v>-77.176738110680844</v>
      </c>
      <c r="BE77" s="2" t="b">
        <f>BD77&lt;=-$BB$128</f>
        <v>1</v>
      </c>
      <c r="BF77" s="1">
        <v>91</v>
      </c>
      <c r="BG77" s="4">
        <f t="shared" si="76"/>
        <v>-0.25806451612903913</v>
      </c>
      <c r="BH77" s="4">
        <f t="shared" si="97"/>
        <v>-1.6877199149666486</v>
      </c>
      <c r="BI77" s="2" t="b">
        <f>BH77&lt;=-$BF$128</f>
        <v>0</v>
      </c>
      <c r="BJ77" s="1">
        <v>92</v>
      </c>
      <c r="BK77" s="4">
        <f t="shared" si="77"/>
        <v>6.4516129032256231E-2</v>
      </c>
      <c r="BL77" s="4">
        <f t="shared" si="98"/>
        <v>-98.188318519819859</v>
      </c>
      <c r="BM77" s="2" t="b">
        <f>BL77&lt;=-$BJ$128</f>
        <v>1</v>
      </c>
      <c r="BN77" s="1">
        <v>83</v>
      </c>
      <c r="BO77" s="4">
        <f t="shared" si="78"/>
        <v>-11.096774193548384</v>
      </c>
      <c r="BP77" s="4">
        <f t="shared" si="99"/>
        <v>-238.77623928255127</v>
      </c>
      <c r="BQ77" s="2" t="b">
        <f>BP77&lt;=-$BN$128</f>
        <v>1</v>
      </c>
      <c r="BR77" s="1">
        <v>82</v>
      </c>
      <c r="BS77" s="4">
        <f t="shared" si="79"/>
        <v>-2.7096774193548328</v>
      </c>
      <c r="BT77" s="4">
        <f t="shared" si="100"/>
        <v>-0.77235302564798336</v>
      </c>
      <c r="BU77" s="2" t="b">
        <f>BT77&lt;=-$BR$128</f>
        <v>0</v>
      </c>
      <c r="BV77" s="1">
        <v>78</v>
      </c>
      <c r="BW77" s="2">
        <f t="shared" si="80"/>
        <v>-8.6129032258064484</v>
      </c>
      <c r="BX77" s="4">
        <f t="shared" si="101"/>
        <v>-6.8208958813514524</v>
      </c>
      <c r="BY77" s="2" t="b">
        <f>BX77&lt;=-$BV$128</f>
        <v>0</v>
      </c>
      <c r="BZ77" s="1">
        <v>77</v>
      </c>
      <c r="CA77" s="2">
        <f t="shared" si="81"/>
        <v>-13.064516129032256</v>
      </c>
      <c r="CB77" s="4">
        <f t="shared" si="102"/>
        <v>-90.562020454081491</v>
      </c>
      <c r="CC77" s="2" t="b">
        <f t="shared" si="82"/>
        <v>1</v>
      </c>
    </row>
    <row r="78" spans="1:81" x14ac:dyDescent="0.2">
      <c r="A78" s="3">
        <v>45915</v>
      </c>
      <c r="B78" s="1">
        <v>86</v>
      </c>
      <c r="C78" s="2">
        <f t="shared" si="62"/>
        <v>-5.1935483870967687</v>
      </c>
      <c r="D78" s="4">
        <f t="shared" si="83"/>
        <v>-107.35951642686432</v>
      </c>
      <c r="E78" s="2" t="b">
        <f>D78&lt;=-$B$128</f>
        <v>1</v>
      </c>
      <c r="F78" s="1">
        <v>88</v>
      </c>
      <c r="G78" s="4">
        <f t="shared" si="63"/>
        <v>0.74193548387096087</v>
      </c>
      <c r="H78" s="4">
        <f t="shared" si="84"/>
        <v>-8.5350991589208434</v>
      </c>
      <c r="I78" s="2" t="b">
        <f>H78&lt;=-$F$128</f>
        <v>0</v>
      </c>
      <c r="J78" s="1">
        <v>87</v>
      </c>
      <c r="K78" s="4">
        <f t="shared" si="64"/>
        <v>-2.7096774193548328</v>
      </c>
      <c r="L78" s="4">
        <f t="shared" si="85"/>
        <v>-94.887579089019695</v>
      </c>
      <c r="M78" s="2" t="b">
        <f>L78&lt;=-$J$128</f>
        <v>1</v>
      </c>
      <c r="N78" s="1">
        <v>89</v>
      </c>
      <c r="O78" s="4">
        <f t="shared" si="65"/>
        <v>1.3548387096774235</v>
      </c>
      <c r="P78" s="4">
        <f t="shared" si="86"/>
        <v>0</v>
      </c>
      <c r="Q78" s="2" t="b">
        <f>P78&lt;=-$N$128</f>
        <v>0</v>
      </c>
      <c r="R78" s="1">
        <v>80</v>
      </c>
      <c r="S78" s="4">
        <f t="shared" si="66"/>
        <v>-11.741935483870961</v>
      </c>
      <c r="T78" s="4">
        <f t="shared" si="87"/>
        <v>-135.8002130981364</v>
      </c>
      <c r="U78" s="2" t="b">
        <f>T78&lt;=-$R$128</f>
        <v>1</v>
      </c>
      <c r="V78" s="1">
        <v>77</v>
      </c>
      <c r="W78" s="4">
        <f t="shared" si="67"/>
        <v>-9.7419354838709609</v>
      </c>
      <c r="X78" s="4">
        <f t="shared" si="88"/>
        <v>-40.327722657841541</v>
      </c>
      <c r="Y78" s="2" t="b">
        <f>X78&lt;=-$V$128</f>
        <v>1</v>
      </c>
      <c r="Z78" s="1">
        <v>91</v>
      </c>
      <c r="AA78" s="4">
        <f t="shared" si="68"/>
        <v>1.7419354838709609</v>
      </c>
      <c r="AB78" s="4">
        <f t="shared" si="89"/>
        <v>-18.747590342004713</v>
      </c>
      <c r="AC78" s="2" t="b">
        <f>AB78&lt;=-$Z$128</f>
        <v>1</v>
      </c>
      <c r="AD78" s="1">
        <v>82</v>
      </c>
      <c r="AE78" s="4">
        <f t="shared" si="69"/>
        <v>-3.5806451612903203</v>
      </c>
      <c r="AF78" s="4">
        <f t="shared" si="90"/>
        <v>-39.352980441987711</v>
      </c>
      <c r="AG78" s="2" t="b">
        <f>AF78&lt;=-$AD$128</f>
        <v>1</v>
      </c>
      <c r="AH78" s="1">
        <v>73</v>
      </c>
      <c r="AI78" s="4">
        <f t="shared" si="70"/>
        <v>-14.838709677419359</v>
      </c>
      <c r="AJ78" s="4">
        <f t="shared" si="91"/>
        <v>-137.84883042766373</v>
      </c>
      <c r="AK78" s="2" t="b">
        <f>AJ78&lt;=-$AH$128</f>
        <v>1</v>
      </c>
      <c r="AL78" s="1">
        <v>91</v>
      </c>
      <c r="AM78" s="4">
        <f t="shared" si="71"/>
        <v>4.0645161290322562</v>
      </c>
      <c r="AN78" s="4">
        <f t="shared" si="92"/>
        <v>0</v>
      </c>
      <c r="AO78" s="2" t="b">
        <f>AN78&lt;=-$AL$128</f>
        <v>0</v>
      </c>
      <c r="AP78" s="1">
        <v>82</v>
      </c>
      <c r="AQ78" s="4">
        <f t="shared" si="72"/>
        <v>-8.1935483870967687</v>
      </c>
      <c r="AR78" s="4">
        <f t="shared" si="93"/>
        <v>-101.68236938926009</v>
      </c>
      <c r="AS78" s="2" t="b">
        <f>AR78&lt;=-$AP$128</f>
        <v>1</v>
      </c>
      <c r="AT78" s="1">
        <v>82</v>
      </c>
      <c r="AU78" s="4">
        <f t="shared" si="73"/>
        <v>-4.4193548387096797</v>
      </c>
      <c r="AV78" s="4">
        <f t="shared" si="94"/>
        <v>-6.4843672823699512</v>
      </c>
      <c r="AW78" s="2" t="b">
        <f>AV78&lt;=-$AT$128</f>
        <v>0</v>
      </c>
      <c r="AX78" s="1">
        <v>79</v>
      </c>
      <c r="AY78" s="4">
        <f t="shared" si="74"/>
        <v>-10.161290322580641</v>
      </c>
      <c r="AZ78" s="4">
        <f t="shared" si="95"/>
        <v>-102.74591833700393</v>
      </c>
      <c r="BA78" s="2" t="b">
        <f>AZ78&lt;=-$AX$128</f>
        <v>1</v>
      </c>
      <c r="BB78" s="1">
        <v>79</v>
      </c>
      <c r="BC78" s="4">
        <f t="shared" si="75"/>
        <v>-7.6451612903225765</v>
      </c>
      <c r="BD78" s="4">
        <f t="shared" si="96"/>
        <v>-82.975513800716683</v>
      </c>
      <c r="BE78" s="2" t="b">
        <f>BD78&lt;=-$BB$128</f>
        <v>1</v>
      </c>
      <c r="BF78" s="1">
        <v>91</v>
      </c>
      <c r="BG78" s="4">
        <f t="shared" si="76"/>
        <v>-0.25806451612903913</v>
      </c>
      <c r="BH78" s="4">
        <f t="shared" si="97"/>
        <v>0</v>
      </c>
      <c r="BI78" s="2" t="b">
        <f>BH78&lt;=-$BF$128</f>
        <v>0</v>
      </c>
      <c r="BJ78" s="1">
        <v>86</v>
      </c>
      <c r="BK78" s="4">
        <f t="shared" si="77"/>
        <v>-5.9354838709677438</v>
      </c>
      <c r="BL78" s="4">
        <f t="shared" si="98"/>
        <v>-102.38725656707621</v>
      </c>
      <c r="BM78" s="2" t="b">
        <f>BL78&lt;=-$BJ$128</f>
        <v>1</v>
      </c>
      <c r="BN78" s="1">
        <v>87</v>
      </c>
      <c r="BO78" s="4">
        <f t="shared" si="78"/>
        <v>-7.0967741935483843</v>
      </c>
      <c r="BP78" s="4">
        <f t="shared" si="99"/>
        <v>-243.58043545594535</v>
      </c>
      <c r="BQ78" s="2" t="b">
        <f>BP78&lt;=-$BN$128</f>
        <v>1</v>
      </c>
      <c r="BR78" s="1">
        <v>84</v>
      </c>
      <c r="BS78" s="4">
        <f t="shared" si="79"/>
        <v>-0.70967741935483275</v>
      </c>
      <c r="BT78" s="4">
        <f t="shared" si="100"/>
        <v>0</v>
      </c>
      <c r="BU78" s="2" t="b">
        <f>BT78&lt;=-$BR$128</f>
        <v>0</v>
      </c>
      <c r="BV78" s="1">
        <v>80</v>
      </c>
      <c r="BW78" s="2">
        <f t="shared" si="80"/>
        <v>-6.6129032258064484</v>
      </c>
      <c r="BX78" s="4">
        <f t="shared" si="101"/>
        <v>-11.641791762702905</v>
      </c>
      <c r="BY78" s="2" t="b">
        <f>BX78&lt;=-$BV$128</f>
        <v>0</v>
      </c>
      <c r="BZ78" s="1">
        <v>80</v>
      </c>
      <c r="CA78" s="2">
        <f t="shared" si="81"/>
        <v>-10.064516129032256</v>
      </c>
      <c r="CB78" s="4">
        <f t="shared" si="102"/>
        <v>-98.847325691215474</v>
      </c>
      <c r="CC78" s="2" t="b">
        <f t="shared" si="82"/>
        <v>1</v>
      </c>
    </row>
    <row r="79" spans="1:81" x14ac:dyDescent="0.2">
      <c r="A79" s="3">
        <v>45916</v>
      </c>
      <c r="B79" s="1">
        <v>82</v>
      </c>
      <c r="C79" s="2">
        <f t="shared" si="62"/>
        <v>-9.1935483870967687</v>
      </c>
      <c r="D79" s="4">
        <f t="shared" si="83"/>
        <v>-114.10214881227685</v>
      </c>
      <c r="E79" s="2" t="b">
        <f>D79&lt;=-$B$128</f>
        <v>1</v>
      </c>
      <c r="F79" s="1">
        <v>88</v>
      </c>
      <c r="G79" s="4">
        <f t="shared" si="63"/>
        <v>0.74193548387096087</v>
      </c>
      <c r="H79" s="4">
        <f t="shared" si="84"/>
        <v>-5.5796907554975794</v>
      </c>
      <c r="I79" s="2" t="b">
        <f>H79&lt;=-$F$128</f>
        <v>0</v>
      </c>
      <c r="J79" s="1">
        <v>88</v>
      </c>
      <c r="K79" s="4">
        <f t="shared" si="64"/>
        <v>-1.7096774193548328</v>
      </c>
      <c r="L79" s="4">
        <f t="shared" si="85"/>
        <v>-95.074137185038936</v>
      </c>
      <c r="M79" s="2" t="b">
        <f>L79&lt;=-$J$128</f>
        <v>1</v>
      </c>
      <c r="N79" s="1">
        <v>81</v>
      </c>
      <c r="O79" s="4">
        <f t="shared" si="65"/>
        <v>-6.6451612903225765</v>
      </c>
      <c r="P79" s="4">
        <f t="shared" si="86"/>
        <v>-3.753943590987876</v>
      </c>
      <c r="Q79" s="2" t="b">
        <f>P79&lt;=-$N$128</f>
        <v>0</v>
      </c>
      <c r="R79" s="1">
        <v>75</v>
      </c>
      <c r="S79" s="4">
        <f t="shared" si="66"/>
        <v>-16.741935483870961</v>
      </c>
      <c r="T79" s="4">
        <f t="shared" si="87"/>
        <v>-149.78846092743856</v>
      </c>
      <c r="U79" s="2" t="b">
        <f>T79&lt;=-$R$128</f>
        <v>1</v>
      </c>
      <c r="V79" s="1">
        <v>77</v>
      </c>
      <c r="W79" s="4">
        <f t="shared" si="67"/>
        <v>-9.7419354838709609</v>
      </c>
      <c r="X79" s="4">
        <f t="shared" si="88"/>
        <v>-48.766023850359517</v>
      </c>
      <c r="Y79" s="2" t="b">
        <f>X79&lt;=-$V$128</f>
        <v>1</v>
      </c>
      <c r="Z79" s="1">
        <v>88</v>
      </c>
      <c r="AA79" s="4">
        <f t="shared" si="68"/>
        <v>-1.2580645161290391</v>
      </c>
      <c r="AB79" s="4">
        <f t="shared" si="89"/>
        <v>-18.134969859104949</v>
      </c>
      <c r="AC79" s="2" t="b">
        <f>AB79&lt;=-$Z$128</f>
        <v>0</v>
      </c>
      <c r="AD79" s="1">
        <v>81</v>
      </c>
      <c r="AE79" s="4">
        <f t="shared" si="69"/>
        <v>-4.5806451612903203</v>
      </c>
      <c r="AF79" s="4">
        <f t="shared" si="90"/>
        <v>-42.188278486186483</v>
      </c>
      <c r="AG79" s="2" t="b">
        <f>AF79&lt;=-$AD$128</f>
        <v>1</v>
      </c>
      <c r="AH79" s="1">
        <v>75</v>
      </c>
      <c r="AI79" s="4">
        <f t="shared" si="70"/>
        <v>-12.838709677419359</v>
      </c>
      <c r="AJ79" s="4">
        <f t="shared" si="91"/>
        <v>-149.1378262917531</v>
      </c>
      <c r="AK79" s="2" t="b">
        <f>AJ79&lt;=-$AH$128</f>
        <v>1</v>
      </c>
      <c r="AL79" s="1">
        <v>88</v>
      </c>
      <c r="AM79" s="4">
        <f t="shared" si="71"/>
        <v>1.0645161290322562</v>
      </c>
      <c r="AN79" s="4">
        <f t="shared" si="92"/>
        <v>0</v>
      </c>
      <c r="AO79" s="2" t="b">
        <f>AN79&lt;=-$AL$128</f>
        <v>0</v>
      </c>
      <c r="AP79" s="1">
        <v>83</v>
      </c>
      <c r="AQ79" s="4">
        <f t="shared" si="72"/>
        <v>-7.1935483870967687</v>
      </c>
      <c r="AR79" s="4">
        <f t="shared" si="93"/>
        <v>-106.75687965007288</v>
      </c>
      <c r="AS79" s="2" t="b">
        <f>AR79&lt;=-$AP$128</f>
        <v>1</v>
      </c>
      <c r="AT79" s="1">
        <v>76</v>
      </c>
      <c r="AU79" s="4">
        <f t="shared" si="73"/>
        <v>-10.41935483870968</v>
      </c>
      <c r="AV79" s="4">
        <f t="shared" si="94"/>
        <v>-15.226550923554928</v>
      </c>
      <c r="AW79" s="9" t="b">
        <f>AV79&lt;=-$AT$128</f>
        <v>0</v>
      </c>
      <c r="AX79" s="1">
        <v>80</v>
      </c>
      <c r="AY79" s="4">
        <f t="shared" si="74"/>
        <v>-9.1612903225806406</v>
      </c>
      <c r="AZ79" s="4">
        <f t="shared" si="95"/>
        <v>-110.53427521743993</v>
      </c>
      <c r="BA79" s="2" t="b">
        <f>AZ79&lt;=-$AX$128</f>
        <v>1</v>
      </c>
      <c r="BB79" s="1">
        <v>82</v>
      </c>
      <c r="BC79" s="4">
        <f t="shared" si="75"/>
        <v>-4.6451612903225765</v>
      </c>
      <c r="BD79" s="4">
        <f t="shared" si="96"/>
        <v>-85.774289490752523</v>
      </c>
      <c r="BE79" s="2" t="b">
        <f>BD79&lt;=-$BB$128</f>
        <v>1</v>
      </c>
      <c r="BF79" s="1">
        <v>89</v>
      </c>
      <c r="BG79" s="4">
        <f t="shared" si="76"/>
        <v>-2.2580645161290391</v>
      </c>
      <c r="BH79" s="4">
        <f t="shared" si="97"/>
        <v>-0.22923997165554955</v>
      </c>
      <c r="BI79" s="2" t="b">
        <f>BH79&lt;=-$BF$128</f>
        <v>0</v>
      </c>
      <c r="BJ79" s="1">
        <v>72</v>
      </c>
      <c r="BK79" s="4">
        <f t="shared" si="77"/>
        <v>-19.935483870967744</v>
      </c>
      <c r="BL79" s="4">
        <f t="shared" si="98"/>
        <v>-120.58619461433256</v>
      </c>
      <c r="BM79" s="2" t="b">
        <f>BL79&lt;=-$BJ$128</f>
        <v>1</v>
      </c>
      <c r="BN79" s="1">
        <v>86</v>
      </c>
      <c r="BO79" s="4">
        <f t="shared" si="78"/>
        <v>-8.0967741935483843</v>
      </c>
      <c r="BP79" s="4">
        <f t="shared" si="99"/>
        <v>-249.38463162933942</v>
      </c>
      <c r="BQ79" s="2" t="b">
        <f>BP79&lt;=-$BN$128</f>
        <v>1</v>
      </c>
      <c r="BR79" s="1">
        <v>89</v>
      </c>
      <c r="BS79" s="4">
        <f t="shared" si="79"/>
        <v>4.2903225806451672</v>
      </c>
      <c r="BT79" s="4">
        <f t="shared" si="100"/>
        <v>0</v>
      </c>
      <c r="BU79" s="2" t="b">
        <f>BT79&lt;=-$BR$128</f>
        <v>0</v>
      </c>
      <c r="BV79" s="1">
        <v>86</v>
      </c>
      <c r="BW79" s="2">
        <f t="shared" si="80"/>
        <v>-0.6129032258064484</v>
      </c>
      <c r="BX79" s="4">
        <f t="shared" si="101"/>
        <v>-10.462687644054357</v>
      </c>
      <c r="BY79" s="2" t="b">
        <f>BX79&lt;=-$BV$128</f>
        <v>0</v>
      </c>
      <c r="BZ79" s="1">
        <v>79</v>
      </c>
      <c r="CA79" s="2">
        <f t="shared" si="81"/>
        <v>-11.064516129032256</v>
      </c>
      <c r="CB79" s="4">
        <f t="shared" si="102"/>
        <v>-108.13263092834946</v>
      </c>
      <c r="CC79" s="2" t="b">
        <f t="shared" si="82"/>
        <v>1</v>
      </c>
    </row>
    <row r="80" spans="1:81" x14ac:dyDescent="0.2">
      <c r="A80" s="3">
        <v>45917</v>
      </c>
      <c r="B80" s="1">
        <v>82</v>
      </c>
      <c r="C80" s="2">
        <f t="shared" si="62"/>
        <v>-9.1935483870967687</v>
      </c>
      <c r="D80" s="4">
        <f t="shared" si="83"/>
        <v>-120.84478119768939</v>
      </c>
      <c r="E80" s="2" t="b">
        <f>D80&lt;=-$B$128</f>
        <v>1</v>
      </c>
      <c r="F80" s="1">
        <v>90</v>
      </c>
      <c r="G80" s="4">
        <f t="shared" si="63"/>
        <v>2.7419354838709609</v>
      </c>
      <c r="H80" s="4">
        <f t="shared" si="84"/>
        <v>-0.62428235207431548</v>
      </c>
      <c r="I80" s="2" t="b">
        <f>H80&lt;=-$F$128</f>
        <v>0</v>
      </c>
      <c r="J80" s="1">
        <v>87</v>
      </c>
      <c r="K80" s="4">
        <f t="shared" si="64"/>
        <v>-2.7096774193548328</v>
      </c>
      <c r="L80" s="4">
        <f t="shared" si="85"/>
        <v>-96.260695281058176</v>
      </c>
      <c r="M80" s="2" t="b">
        <f>L80&lt;=-$J$128</f>
        <v>1</v>
      </c>
      <c r="N80" s="1">
        <v>81</v>
      </c>
      <c r="O80" s="4">
        <f t="shared" si="65"/>
        <v>-6.6451612903225765</v>
      </c>
      <c r="P80" s="4">
        <f t="shared" si="86"/>
        <v>-7.5078871819757529</v>
      </c>
      <c r="Q80" s="2" t="b">
        <f>P80&lt;=-$N$128</f>
        <v>0</v>
      </c>
      <c r="R80" s="1">
        <v>73</v>
      </c>
      <c r="S80" s="4">
        <f t="shared" si="66"/>
        <v>-18.741935483870961</v>
      </c>
      <c r="T80" s="4">
        <f t="shared" si="87"/>
        <v>-165.77670875674073</v>
      </c>
      <c r="U80" s="2" t="b">
        <f>T80&lt;=-$R$128</f>
        <v>1</v>
      </c>
      <c r="V80" s="1">
        <v>81</v>
      </c>
      <c r="W80" s="4">
        <f t="shared" si="67"/>
        <v>-5.7419354838709609</v>
      </c>
      <c r="X80" s="4">
        <f t="shared" si="88"/>
        <v>-53.204325042877493</v>
      </c>
      <c r="Y80" s="2" t="b">
        <f>X80&lt;=-$V$128</f>
        <v>1</v>
      </c>
      <c r="Z80" s="1">
        <v>86</v>
      </c>
      <c r="AA80" s="4">
        <f t="shared" si="68"/>
        <v>-3.2580645161290391</v>
      </c>
      <c r="AB80" s="4">
        <f t="shared" si="89"/>
        <v>-19.522349376205185</v>
      </c>
      <c r="AC80" s="2" t="b">
        <f>AB80&lt;=-$Z$128</f>
        <v>1</v>
      </c>
      <c r="AD80" s="1">
        <v>81</v>
      </c>
      <c r="AE80" s="4">
        <f t="shared" si="69"/>
        <v>-4.5806451612903203</v>
      </c>
      <c r="AF80" s="4">
        <f t="shared" si="90"/>
        <v>-45.023576530385256</v>
      </c>
      <c r="AG80" s="2" t="b">
        <f>AF80&lt;=-$AD$128</f>
        <v>1</v>
      </c>
      <c r="AH80" s="1">
        <v>80</v>
      </c>
      <c r="AI80" s="4">
        <f t="shared" si="70"/>
        <v>-7.8387096774193594</v>
      </c>
      <c r="AJ80" s="4">
        <f t="shared" si="91"/>
        <v>-155.42682215584247</v>
      </c>
      <c r="AK80" s="2" t="b">
        <f>AJ80&lt;=-$AH$128</f>
        <v>1</v>
      </c>
      <c r="AL80" s="1">
        <v>86</v>
      </c>
      <c r="AM80" s="4">
        <f t="shared" si="71"/>
        <v>-0.93548387096774377</v>
      </c>
      <c r="AN80" s="4">
        <f t="shared" si="92"/>
        <v>0</v>
      </c>
      <c r="AO80" s="2" t="b">
        <f>AN80&lt;=-$AL$128</f>
        <v>0</v>
      </c>
      <c r="AP80" s="1">
        <v>85</v>
      </c>
      <c r="AQ80" s="4">
        <f t="shared" si="72"/>
        <v>-5.1935483870967687</v>
      </c>
      <c r="AR80" s="4">
        <f t="shared" si="93"/>
        <v>-109.83138991088566</v>
      </c>
      <c r="AS80" s="2" t="b">
        <f>AR80&lt;=-$AP$128</f>
        <v>1</v>
      </c>
      <c r="AT80" s="1">
        <v>78</v>
      </c>
      <c r="AU80" s="4">
        <f t="shared" si="73"/>
        <v>-8.4193548387096797</v>
      </c>
      <c r="AV80" s="4">
        <f t="shared" si="94"/>
        <v>-21.968734564739904</v>
      </c>
      <c r="AW80" s="8" t="b">
        <f>AV80&lt;=-$AT$128</f>
        <v>1</v>
      </c>
      <c r="AX80" s="1">
        <v>69</v>
      </c>
      <c r="AY80" s="4">
        <f t="shared" si="74"/>
        <v>-20.161290322580641</v>
      </c>
      <c r="AZ80" s="4">
        <f t="shared" si="95"/>
        <v>-129.32263209787592</v>
      </c>
      <c r="BA80" s="2" t="b">
        <f>AZ80&lt;=-$AX$128</f>
        <v>1</v>
      </c>
      <c r="BB80" s="1">
        <v>73</v>
      </c>
      <c r="BC80" s="4">
        <f t="shared" si="75"/>
        <v>-13.645161290322577</v>
      </c>
      <c r="BD80" s="4">
        <f t="shared" si="96"/>
        <v>-97.573065180788362</v>
      </c>
      <c r="BE80" s="2" t="b">
        <f>BD80&lt;=-$BB$128</f>
        <v>1</v>
      </c>
      <c r="BF80" s="1">
        <v>95</v>
      </c>
      <c r="BG80" s="4">
        <f t="shared" si="76"/>
        <v>3.7419354838709609</v>
      </c>
      <c r="BH80" s="4">
        <f t="shared" si="97"/>
        <v>0</v>
      </c>
      <c r="BI80" s="2" t="b">
        <f>BH80&lt;=-$BF$128</f>
        <v>0</v>
      </c>
      <c r="BJ80" s="1">
        <v>79</v>
      </c>
      <c r="BK80" s="4">
        <f t="shared" si="77"/>
        <v>-12.935483870967744</v>
      </c>
      <c r="BL80" s="4">
        <f t="shared" si="98"/>
        <v>-131.7851326615889</v>
      </c>
      <c r="BM80" s="2" t="b">
        <f>BL80&lt;=-$BJ$128</f>
        <v>1</v>
      </c>
      <c r="BN80" s="1">
        <v>83</v>
      </c>
      <c r="BO80" s="4">
        <f t="shared" si="78"/>
        <v>-11.096774193548384</v>
      </c>
      <c r="BP80" s="4">
        <f t="shared" si="99"/>
        <v>-258.18882780273356</v>
      </c>
      <c r="BQ80" s="2" t="b">
        <f>BP80&lt;=-$BN$128</f>
        <v>1</v>
      </c>
      <c r="BR80" s="1">
        <v>79</v>
      </c>
      <c r="BS80" s="4">
        <f t="shared" si="79"/>
        <v>-5.7096774193548328</v>
      </c>
      <c r="BT80" s="4">
        <f t="shared" si="100"/>
        <v>-3.7723530256479831</v>
      </c>
      <c r="BU80" s="2" t="b">
        <f>BT80&lt;=-$BR$128</f>
        <v>0</v>
      </c>
      <c r="BV80" s="1">
        <v>86</v>
      </c>
      <c r="BW80" s="2">
        <f t="shared" si="80"/>
        <v>-0.6129032258064484</v>
      </c>
      <c r="BX80" s="4">
        <f t="shared" si="101"/>
        <v>-9.2835835254058097</v>
      </c>
      <c r="BY80" s="2" t="b">
        <f>BX80&lt;=-$BV$128</f>
        <v>0</v>
      </c>
      <c r="BZ80" s="1">
        <v>83</v>
      </c>
      <c r="CA80" s="2">
        <f t="shared" si="81"/>
        <v>-7.0645161290322562</v>
      </c>
      <c r="CB80" s="4">
        <f t="shared" si="102"/>
        <v>-113.41793616548344</v>
      </c>
      <c r="CC80" s="2" t="b">
        <f t="shared" si="82"/>
        <v>1</v>
      </c>
    </row>
    <row r="81" spans="1:81" x14ac:dyDescent="0.2">
      <c r="A81" s="3">
        <v>45918</v>
      </c>
      <c r="B81" s="1">
        <v>78</v>
      </c>
      <c r="C81" s="2">
        <f t="shared" si="62"/>
        <v>-13.193548387096769</v>
      </c>
      <c r="D81" s="4">
        <f t="shared" si="83"/>
        <v>-131.58741358310192</v>
      </c>
      <c r="E81" s="2" t="b">
        <f>D81&lt;=-$B$128</f>
        <v>1</v>
      </c>
      <c r="F81" s="1">
        <v>88</v>
      </c>
      <c r="G81" s="4">
        <f t="shared" si="63"/>
        <v>0.74193548387096087</v>
      </c>
      <c r="H81" s="4">
        <f t="shared" si="84"/>
        <v>0</v>
      </c>
      <c r="I81" s="2" t="b">
        <f>H81&lt;=-$F$128</f>
        <v>0</v>
      </c>
      <c r="J81" s="1">
        <v>82</v>
      </c>
      <c r="K81" s="4">
        <f t="shared" si="64"/>
        <v>-7.7096774193548328</v>
      </c>
      <c r="L81" s="4">
        <f t="shared" si="85"/>
        <v>-102.44725337707742</v>
      </c>
      <c r="M81" s="2" t="b">
        <f>L81&lt;=-$J$128</f>
        <v>1</v>
      </c>
      <c r="N81" s="1">
        <v>82</v>
      </c>
      <c r="O81" s="4">
        <f t="shared" si="65"/>
        <v>-5.6451612903225765</v>
      </c>
      <c r="P81" s="4">
        <f t="shared" si="86"/>
        <v>-10.261830772963631</v>
      </c>
      <c r="Q81" s="9" t="b">
        <f>P81&lt;=-$N$128</f>
        <v>0</v>
      </c>
      <c r="R81" s="1">
        <v>73</v>
      </c>
      <c r="S81" s="4">
        <f t="shared" si="66"/>
        <v>-18.741935483870961</v>
      </c>
      <c r="T81" s="4">
        <f t="shared" si="87"/>
        <v>-181.7649565860429</v>
      </c>
      <c r="U81" s="2" t="b">
        <f>T81&lt;=-$R$128</f>
        <v>1</v>
      </c>
      <c r="V81" s="1">
        <v>81</v>
      </c>
      <c r="W81" s="4">
        <f t="shared" si="67"/>
        <v>-5.7419354838709609</v>
      </c>
      <c r="X81" s="4">
        <f t="shared" si="88"/>
        <v>-57.642626235395468</v>
      </c>
      <c r="Y81" s="2" t="b">
        <f>X81&lt;=-$V$128</f>
        <v>1</v>
      </c>
      <c r="Z81" s="1">
        <v>81</v>
      </c>
      <c r="AA81" s="4">
        <f t="shared" si="68"/>
        <v>-8.2580645161290391</v>
      </c>
      <c r="AB81" s="4">
        <f t="shared" si="89"/>
        <v>-25.90972889330542</v>
      </c>
      <c r="AC81" s="2" t="b">
        <f>AB81&lt;=-$Z$128</f>
        <v>1</v>
      </c>
      <c r="AD81" s="1">
        <v>81</v>
      </c>
      <c r="AE81" s="4">
        <f t="shared" si="69"/>
        <v>-4.5806451612903203</v>
      </c>
      <c r="AF81" s="4">
        <f t="shared" si="90"/>
        <v>-47.858874574584028</v>
      </c>
      <c r="AG81" s="2" t="b">
        <f>AF81&lt;=-$AD$128</f>
        <v>1</v>
      </c>
      <c r="AH81" s="1">
        <v>79</v>
      </c>
      <c r="AI81" s="4">
        <f t="shared" si="70"/>
        <v>-8.8387096774193594</v>
      </c>
      <c r="AJ81" s="4">
        <f t="shared" si="91"/>
        <v>-162.71581801993185</v>
      </c>
      <c r="AK81" s="2" t="b">
        <f>AJ81&lt;=-$AH$128</f>
        <v>1</v>
      </c>
      <c r="AL81" s="1">
        <v>88</v>
      </c>
      <c r="AM81" s="4">
        <f t="shared" si="71"/>
        <v>1.0645161290322562</v>
      </c>
      <c r="AN81" s="4">
        <f t="shared" si="92"/>
        <v>0</v>
      </c>
      <c r="AO81" s="2" t="b">
        <f>AN81&lt;=-$AL$128</f>
        <v>0</v>
      </c>
      <c r="AP81" s="1">
        <v>85</v>
      </c>
      <c r="AQ81" s="4">
        <f t="shared" si="72"/>
        <v>-5.1935483870967687</v>
      </c>
      <c r="AR81" s="4">
        <f t="shared" si="93"/>
        <v>-112.90590017169845</v>
      </c>
      <c r="AS81" s="2" t="b">
        <f>AR81&lt;=-$AP$128</f>
        <v>1</v>
      </c>
      <c r="AT81" s="1">
        <v>79</v>
      </c>
      <c r="AU81" s="4">
        <f t="shared" si="73"/>
        <v>-7.4193548387096797</v>
      </c>
      <c r="AV81" s="4">
        <f t="shared" si="94"/>
        <v>-27.71091820592488</v>
      </c>
      <c r="AW81" s="2" t="b">
        <f>AV81&lt;=-$AT$128</f>
        <v>1</v>
      </c>
      <c r="AX81" s="1">
        <v>82</v>
      </c>
      <c r="AY81" s="4">
        <f t="shared" si="74"/>
        <v>-7.1612903225806406</v>
      </c>
      <c r="AZ81" s="4">
        <f t="shared" si="95"/>
        <v>-135.11098897831192</v>
      </c>
      <c r="BA81" s="2" t="b">
        <f>AZ81&lt;=-$AX$128</f>
        <v>1</v>
      </c>
      <c r="BB81" s="1">
        <v>80</v>
      </c>
      <c r="BC81" s="4">
        <f t="shared" si="75"/>
        <v>-6.6451612903225765</v>
      </c>
      <c r="BD81" s="4">
        <f t="shared" si="96"/>
        <v>-102.3718408708242</v>
      </c>
      <c r="BE81" s="2" t="b">
        <f>BD81&lt;=-$BB$128</f>
        <v>1</v>
      </c>
      <c r="BF81" s="1">
        <v>93</v>
      </c>
      <c r="BG81" s="4">
        <f t="shared" si="76"/>
        <v>1.7419354838709609</v>
      </c>
      <c r="BH81" s="4">
        <f t="shared" si="97"/>
        <v>0</v>
      </c>
      <c r="BI81" s="2" t="b">
        <f>BH81&lt;=-$BF$128</f>
        <v>0</v>
      </c>
      <c r="BJ81" s="1">
        <v>77</v>
      </c>
      <c r="BK81" s="4">
        <f t="shared" si="77"/>
        <v>-14.935483870967744</v>
      </c>
      <c r="BL81" s="4">
        <f t="shared" si="98"/>
        <v>-144.98407070884525</v>
      </c>
      <c r="BM81" s="2" t="b">
        <f>BL81&lt;=-$BJ$128</f>
        <v>1</v>
      </c>
      <c r="BN81" s="1">
        <v>79</v>
      </c>
      <c r="BO81" s="4">
        <f t="shared" si="78"/>
        <v>-15.096774193548384</v>
      </c>
      <c r="BP81" s="4">
        <f t="shared" si="99"/>
        <v>-270.99302397612763</v>
      </c>
      <c r="BQ81" s="2" t="b">
        <f>BP81&lt;=-$BN$128</f>
        <v>1</v>
      </c>
      <c r="BR81" s="1">
        <v>78</v>
      </c>
      <c r="BS81" s="4">
        <f t="shared" si="79"/>
        <v>-6.7096774193548328</v>
      </c>
      <c r="BT81" s="4">
        <f t="shared" si="100"/>
        <v>-8.5447060512959681</v>
      </c>
      <c r="BU81" s="2" t="b">
        <f>BT81&lt;=-$BR$128</f>
        <v>0</v>
      </c>
      <c r="BV81" s="1">
        <v>85</v>
      </c>
      <c r="BW81" s="2">
        <f t="shared" si="80"/>
        <v>-1.6129032258064484</v>
      </c>
      <c r="BX81" s="4">
        <f t="shared" si="101"/>
        <v>-9.1044794067572621</v>
      </c>
      <c r="BY81" s="9" t="b">
        <f>BX81&lt;=-$BV$128</f>
        <v>0</v>
      </c>
      <c r="BZ81" s="1">
        <v>83</v>
      </c>
      <c r="CA81" s="2">
        <f t="shared" si="81"/>
        <v>-7.0645161290322562</v>
      </c>
      <c r="CB81" s="4">
        <f t="shared" si="102"/>
        <v>-118.70324140261742</v>
      </c>
      <c r="CC81" s="2" t="b">
        <f t="shared" si="82"/>
        <v>1</v>
      </c>
    </row>
    <row r="82" spans="1:81" x14ac:dyDescent="0.2">
      <c r="A82" s="3">
        <v>45919</v>
      </c>
      <c r="B82" s="1">
        <v>79</v>
      </c>
      <c r="C82" s="2">
        <f t="shared" si="62"/>
        <v>-12.193548387096769</v>
      </c>
      <c r="D82" s="4">
        <f t="shared" si="83"/>
        <v>-141.33004596851447</v>
      </c>
      <c r="E82" s="2" t="b">
        <f>D82&lt;=-$B$128</f>
        <v>1</v>
      </c>
      <c r="F82" s="1">
        <v>91</v>
      </c>
      <c r="G82" s="4">
        <f t="shared" si="63"/>
        <v>3.7419354838709609</v>
      </c>
      <c r="H82" s="4">
        <f t="shared" si="84"/>
        <v>0</v>
      </c>
      <c r="I82" s="2" t="b">
        <f>H82&lt;=-$F$128</f>
        <v>0</v>
      </c>
      <c r="J82" s="1">
        <v>80</v>
      </c>
      <c r="K82" s="4">
        <f t="shared" si="64"/>
        <v>-9.7096774193548328</v>
      </c>
      <c r="L82" s="4">
        <f t="shared" si="85"/>
        <v>-110.63381147309666</v>
      </c>
      <c r="M82" s="2" t="b">
        <f>L82&lt;=-$J$128</f>
        <v>1</v>
      </c>
      <c r="N82" s="1">
        <v>79</v>
      </c>
      <c r="O82" s="4">
        <f t="shared" si="65"/>
        <v>-8.6451612903225765</v>
      </c>
      <c r="P82" s="4">
        <f t="shared" si="86"/>
        <v>-16.015774363951508</v>
      </c>
      <c r="Q82" s="2" t="b">
        <f>P82&lt;=-$N$128</f>
        <v>0</v>
      </c>
      <c r="R82" s="1">
        <v>84</v>
      </c>
      <c r="S82" s="4">
        <f t="shared" si="66"/>
        <v>-7.7419354838709609</v>
      </c>
      <c r="T82" s="4">
        <f t="shared" si="87"/>
        <v>-186.75320441534507</v>
      </c>
      <c r="U82" s="2" t="b">
        <f>T82&lt;=-$R$128</f>
        <v>1</v>
      </c>
      <c r="V82" s="1">
        <v>82</v>
      </c>
      <c r="W82" s="4">
        <f t="shared" si="67"/>
        <v>-4.7419354838709609</v>
      </c>
      <c r="X82" s="4">
        <f t="shared" si="88"/>
        <v>-61.080927427913444</v>
      </c>
      <c r="Y82" s="2" t="b">
        <f>X82&lt;=-$V$128</f>
        <v>1</v>
      </c>
      <c r="Z82" s="1">
        <v>80</v>
      </c>
      <c r="AA82" s="4">
        <f t="shared" si="68"/>
        <v>-9.2580645161290391</v>
      </c>
      <c r="AB82" s="4">
        <f t="shared" si="89"/>
        <v>-33.297108410405656</v>
      </c>
      <c r="AC82" s="2" t="b">
        <f>AB82&lt;=-$Z$128</f>
        <v>1</v>
      </c>
      <c r="AD82" s="1">
        <v>84</v>
      </c>
      <c r="AE82" s="4">
        <f t="shared" si="69"/>
        <v>-1.5806451612903203</v>
      </c>
      <c r="AF82" s="4">
        <f t="shared" si="90"/>
        <v>-47.694172618782801</v>
      </c>
      <c r="AG82" s="2" t="b">
        <f>AF82&lt;=-$AD$128</f>
        <v>1</v>
      </c>
      <c r="AH82" s="1">
        <v>78</v>
      </c>
      <c r="AI82" s="4">
        <f t="shared" si="70"/>
        <v>-9.8387096774193594</v>
      </c>
      <c r="AJ82" s="4">
        <f t="shared" si="91"/>
        <v>-171.00481388402122</v>
      </c>
      <c r="AK82" s="2" t="b">
        <f>AJ82&lt;=-$AH$128</f>
        <v>1</v>
      </c>
      <c r="AL82" s="1">
        <v>90</v>
      </c>
      <c r="AM82" s="4">
        <f t="shared" si="71"/>
        <v>3.0645161290322562</v>
      </c>
      <c r="AN82" s="4">
        <f t="shared" si="92"/>
        <v>0</v>
      </c>
      <c r="AO82" s="2" t="b">
        <f>AN82&lt;=-$AL$128</f>
        <v>0</v>
      </c>
      <c r="AP82" s="1">
        <v>79</v>
      </c>
      <c r="AQ82" s="4">
        <f t="shared" si="72"/>
        <v>-11.193548387096769</v>
      </c>
      <c r="AR82" s="4">
        <f t="shared" si="93"/>
        <v>-121.98041043251123</v>
      </c>
      <c r="AS82" s="2" t="b">
        <f>AR82&lt;=-$AP$128</f>
        <v>1</v>
      </c>
      <c r="AT82" s="1">
        <v>82</v>
      </c>
      <c r="AU82" s="4">
        <f t="shared" si="73"/>
        <v>-4.4193548387096797</v>
      </c>
      <c r="AV82" s="4">
        <f t="shared" si="94"/>
        <v>-30.45310184710986</v>
      </c>
      <c r="AW82" s="2" t="b">
        <f>AV82&lt;=-$AT$128</f>
        <v>1</v>
      </c>
      <c r="AX82" s="1">
        <v>81</v>
      </c>
      <c r="AY82" s="4">
        <f t="shared" si="74"/>
        <v>-8.1612903225806406</v>
      </c>
      <c r="AZ82" s="4">
        <f t="shared" si="95"/>
        <v>-141.89934585874792</v>
      </c>
      <c r="BA82" s="2" t="b">
        <f>AZ82&lt;=-$AX$128</f>
        <v>1</v>
      </c>
      <c r="BB82" s="1">
        <v>74</v>
      </c>
      <c r="BC82" s="4">
        <f t="shared" si="75"/>
        <v>-12.645161290322577</v>
      </c>
      <c r="BD82" s="4">
        <f t="shared" si="96"/>
        <v>-113.17061656086004</v>
      </c>
      <c r="BE82" s="2" t="b">
        <f>BD82&lt;=-$BB$128</f>
        <v>1</v>
      </c>
      <c r="BF82" s="1">
        <v>92</v>
      </c>
      <c r="BG82" s="4">
        <f t="shared" si="76"/>
        <v>0.74193548387096087</v>
      </c>
      <c r="BH82" s="4">
        <f t="shared" si="97"/>
        <v>0</v>
      </c>
      <c r="BI82" s="2" t="b">
        <f>BH82&lt;=-$BF$128</f>
        <v>0</v>
      </c>
      <c r="BJ82" s="1">
        <v>77</v>
      </c>
      <c r="BK82" s="4">
        <f t="shared" si="77"/>
        <v>-14.935483870967744</v>
      </c>
      <c r="BL82" s="4">
        <f t="shared" si="98"/>
        <v>-158.1830087561016</v>
      </c>
      <c r="BM82" s="2" t="b">
        <f>BL82&lt;=-$BJ$128</f>
        <v>1</v>
      </c>
      <c r="BN82" s="1">
        <v>81</v>
      </c>
      <c r="BO82" s="4">
        <f t="shared" si="78"/>
        <v>-13.096774193548384</v>
      </c>
      <c r="BP82" s="4">
        <f t="shared" si="99"/>
        <v>-281.79722014952171</v>
      </c>
      <c r="BQ82" s="2" t="b">
        <f>BP82&lt;=-$BN$128</f>
        <v>1</v>
      </c>
      <c r="BR82" s="1">
        <v>84</v>
      </c>
      <c r="BS82" s="4">
        <f t="shared" si="79"/>
        <v>-0.70967741935483275</v>
      </c>
      <c r="BT82" s="4">
        <f t="shared" si="100"/>
        <v>-7.3170590769439512</v>
      </c>
      <c r="BU82" s="2" t="b">
        <f>BT82&lt;=-$BR$128</f>
        <v>0</v>
      </c>
      <c r="BV82" s="1">
        <v>84</v>
      </c>
      <c r="BW82" s="2">
        <f t="shared" si="80"/>
        <v>-2.6129032258064484</v>
      </c>
      <c r="BX82" s="4">
        <f t="shared" si="101"/>
        <v>-9.9253752881087145</v>
      </c>
      <c r="BY82" s="2" t="b">
        <f>BX82&lt;=-$BV$128</f>
        <v>0</v>
      </c>
      <c r="BZ82" s="1">
        <v>87</v>
      </c>
      <c r="CA82" s="2">
        <f t="shared" si="81"/>
        <v>-3.0645161290322562</v>
      </c>
      <c r="CB82" s="4">
        <f t="shared" si="102"/>
        <v>-119.98854663975141</v>
      </c>
      <c r="CC82" s="2" t="b">
        <f t="shared" si="82"/>
        <v>1</v>
      </c>
    </row>
    <row r="83" spans="1:81" x14ac:dyDescent="0.2">
      <c r="A83" s="3">
        <v>45920</v>
      </c>
      <c r="B83" s="1">
        <v>79</v>
      </c>
      <c r="C83" s="2">
        <f t="shared" si="62"/>
        <v>-12.193548387096769</v>
      </c>
      <c r="D83" s="4">
        <f t="shared" si="83"/>
        <v>-151.07267835392702</v>
      </c>
      <c r="E83" s="2" t="b">
        <f>D83&lt;=-$B$128</f>
        <v>1</v>
      </c>
      <c r="F83" s="1">
        <v>95</v>
      </c>
      <c r="G83" s="4">
        <f t="shared" si="63"/>
        <v>7.7419354838709609</v>
      </c>
      <c r="H83" s="4">
        <f t="shared" si="84"/>
        <v>0</v>
      </c>
      <c r="I83" s="2" t="b">
        <f>H83&lt;=-$F$128</f>
        <v>0</v>
      </c>
      <c r="J83" s="1">
        <v>82</v>
      </c>
      <c r="K83" s="4">
        <f t="shared" si="64"/>
        <v>-7.7096774193548328</v>
      </c>
      <c r="L83" s="4">
        <f t="shared" si="85"/>
        <v>-116.8203695691159</v>
      </c>
      <c r="M83" s="2" t="b">
        <f>L83&lt;=-$J$128</f>
        <v>1</v>
      </c>
      <c r="N83" s="1">
        <v>68</v>
      </c>
      <c r="O83" s="4">
        <f t="shared" si="65"/>
        <v>-19.645161290322577</v>
      </c>
      <c r="P83" s="4">
        <f t="shared" si="86"/>
        <v>-32.769717954939381</v>
      </c>
      <c r="Q83" s="8" t="b">
        <f>P83&lt;=-$N$128</f>
        <v>1</v>
      </c>
      <c r="R83" s="1">
        <v>87</v>
      </c>
      <c r="S83" s="4">
        <f t="shared" si="66"/>
        <v>-4.7419354838709609</v>
      </c>
      <c r="T83" s="4">
        <f t="shared" si="87"/>
        <v>-188.74145224464723</v>
      </c>
      <c r="U83" s="2" t="b">
        <f>T83&lt;=-$R$128</f>
        <v>1</v>
      </c>
      <c r="V83" s="1">
        <v>84</v>
      </c>
      <c r="W83" s="4">
        <f t="shared" si="67"/>
        <v>-2.7419354838709609</v>
      </c>
      <c r="X83" s="4">
        <f t="shared" si="88"/>
        <v>-62.51922862043142</v>
      </c>
      <c r="Y83" s="2" t="b">
        <f>X83&lt;=-$V$128</f>
        <v>1</v>
      </c>
      <c r="Z83" s="1">
        <v>86</v>
      </c>
      <c r="AA83" s="4">
        <f t="shared" si="68"/>
        <v>-3.2580645161290391</v>
      </c>
      <c r="AB83" s="4">
        <f t="shared" si="89"/>
        <v>-34.684487927505891</v>
      </c>
      <c r="AC83" s="2" t="b">
        <f>AB83&lt;=-$Z$128</f>
        <v>1</v>
      </c>
      <c r="AD83" s="1">
        <v>87</v>
      </c>
      <c r="AE83" s="4">
        <f t="shared" si="69"/>
        <v>1.4193548387096797</v>
      </c>
      <c r="AF83" s="4">
        <f t="shared" si="90"/>
        <v>-44.529470662981574</v>
      </c>
      <c r="AG83" s="2" t="b">
        <f>AF83&lt;=-$AD$128</f>
        <v>1</v>
      </c>
      <c r="AH83" s="1">
        <v>73</v>
      </c>
      <c r="AI83" s="4">
        <f t="shared" si="70"/>
        <v>-14.838709677419359</v>
      </c>
      <c r="AJ83" s="4">
        <f t="shared" si="91"/>
        <v>-184.29380974811059</v>
      </c>
      <c r="AK83" s="2" t="b">
        <f>AJ83&lt;=-$AH$128</f>
        <v>1</v>
      </c>
      <c r="AL83" s="1">
        <v>90</v>
      </c>
      <c r="AM83" s="4">
        <f t="shared" si="71"/>
        <v>3.0645161290322562</v>
      </c>
      <c r="AN83" s="4">
        <f t="shared" si="92"/>
        <v>0</v>
      </c>
      <c r="AO83" s="2" t="b">
        <f>AN83&lt;=-$AL$128</f>
        <v>0</v>
      </c>
      <c r="AP83" s="1">
        <v>73</v>
      </c>
      <c r="AQ83" s="4">
        <f t="shared" si="72"/>
        <v>-17.193548387096769</v>
      </c>
      <c r="AR83" s="4">
        <f t="shared" si="93"/>
        <v>-137.05492069332402</v>
      </c>
      <c r="AS83" s="2" t="b">
        <f>AR83&lt;=-$AP$128</f>
        <v>1</v>
      </c>
      <c r="AT83" s="1">
        <v>81</v>
      </c>
      <c r="AU83" s="4">
        <f t="shared" si="73"/>
        <v>-5.4193548387096797</v>
      </c>
      <c r="AV83" s="4">
        <f t="shared" si="94"/>
        <v>-34.195285488294836</v>
      </c>
      <c r="AW83" s="2" t="b">
        <f>AV83&lt;=-$AT$128</f>
        <v>1</v>
      </c>
      <c r="AX83" s="1">
        <v>79</v>
      </c>
      <c r="AY83" s="4">
        <f t="shared" si="74"/>
        <v>-10.161290322580641</v>
      </c>
      <c r="AZ83" s="4">
        <f t="shared" si="95"/>
        <v>-150.68770273918392</v>
      </c>
      <c r="BA83" s="2" t="b">
        <f>AZ83&lt;=-$AX$128</f>
        <v>1</v>
      </c>
      <c r="BB83" s="1">
        <v>81</v>
      </c>
      <c r="BC83" s="4">
        <f t="shared" si="75"/>
        <v>-5.6451612903225765</v>
      </c>
      <c r="BD83" s="4">
        <f t="shared" si="96"/>
        <v>-116.96939225089588</v>
      </c>
      <c r="BE83" s="2" t="b">
        <f>BD83&lt;=-$BB$128</f>
        <v>1</v>
      </c>
      <c r="BF83" s="1">
        <v>96</v>
      </c>
      <c r="BG83" s="4">
        <f t="shared" si="76"/>
        <v>4.7419354838709609</v>
      </c>
      <c r="BH83" s="4">
        <f t="shared" si="97"/>
        <v>0</v>
      </c>
      <c r="BI83" s="2" t="b">
        <f>BH83&lt;=-$BF$128</f>
        <v>0</v>
      </c>
      <c r="BJ83" s="1">
        <v>82</v>
      </c>
      <c r="BK83" s="4">
        <f t="shared" si="77"/>
        <v>-9.9354838709677438</v>
      </c>
      <c r="BL83" s="4">
        <f t="shared" si="98"/>
        <v>-166.38194680335795</v>
      </c>
      <c r="BM83" s="2" t="b">
        <f>BL83&lt;=-$BJ$128</f>
        <v>1</v>
      </c>
      <c r="BN83" s="1">
        <v>79</v>
      </c>
      <c r="BO83" s="4">
        <f t="shared" si="78"/>
        <v>-15.096774193548384</v>
      </c>
      <c r="BP83" s="4">
        <f t="shared" si="99"/>
        <v>-294.60141632291578</v>
      </c>
      <c r="BQ83" s="2" t="b">
        <f>BP83&lt;=-$BN$128</f>
        <v>1</v>
      </c>
      <c r="BR83" s="1">
        <v>86</v>
      </c>
      <c r="BS83" s="4">
        <f t="shared" si="79"/>
        <v>1.2903225806451672</v>
      </c>
      <c r="BT83" s="4">
        <f t="shared" si="100"/>
        <v>-4.0894121025919343</v>
      </c>
      <c r="BU83" s="2" t="b">
        <f>BT83&lt;=-$BR$128</f>
        <v>0</v>
      </c>
      <c r="BV83" s="1">
        <v>83</v>
      </c>
      <c r="BW83" s="2">
        <f t="shared" si="80"/>
        <v>-3.6129032258064484</v>
      </c>
      <c r="BX83" s="4">
        <f t="shared" si="101"/>
        <v>-11.746271169460167</v>
      </c>
      <c r="BY83" s="2" t="b">
        <f>BX83&lt;=-$BV$128</f>
        <v>0</v>
      </c>
      <c r="BZ83" s="1">
        <v>89</v>
      </c>
      <c r="CA83" s="2">
        <f t="shared" si="81"/>
        <v>-1.0645161290322562</v>
      </c>
      <c r="CB83" s="4">
        <f t="shared" si="102"/>
        <v>-119.27385187688539</v>
      </c>
      <c r="CC83" s="2" t="b">
        <f t="shared" si="82"/>
        <v>1</v>
      </c>
    </row>
    <row r="84" spans="1:81" x14ac:dyDescent="0.2">
      <c r="A84" s="3">
        <v>45921</v>
      </c>
      <c r="B84" s="1">
        <v>78</v>
      </c>
      <c r="C84" s="2">
        <f t="shared" si="62"/>
        <v>-13.193548387096769</v>
      </c>
      <c r="D84" s="4">
        <f t="shared" si="83"/>
        <v>-161.81531073933957</v>
      </c>
      <c r="E84" s="2" t="b">
        <f>D84&lt;=-$B$128</f>
        <v>1</v>
      </c>
      <c r="F84" s="1">
        <v>89</v>
      </c>
      <c r="G84" s="4">
        <f t="shared" si="63"/>
        <v>1.7419354838709609</v>
      </c>
      <c r="H84" s="4">
        <f t="shared" si="84"/>
        <v>0</v>
      </c>
      <c r="I84" s="2" t="b">
        <f>H84&lt;=-$F$128</f>
        <v>0</v>
      </c>
      <c r="J84" s="1">
        <v>82</v>
      </c>
      <c r="K84" s="4">
        <f t="shared" si="64"/>
        <v>-7.7096774193548328</v>
      </c>
      <c r="L84" s="4">
        <f t="shared" si="85"/>
        <v>-123.00692766513514</v>
      </c>
      <c r="M84" s="2" t="b">
        <f>L84&lt;=-$J$128</f>
        <v>1</v>
      </c>
      <c r="N84" s="1">
        <v>79</v>
      </c>
      <c r="O84" s="4">
        <f t="shared" si="65"/>
        <v>-8.6451612903225765</v>
      </c>
      <c r="P84" s="4">
        <f t="shared" si="86"/>
        <v>-38.523661545927254</v>
      </c>
      <c r="Q84" s="2" t="b">
        <f>P84&lt;=-$N$128</f>
        <v>1</v>
      </c>
      <c r="R84" s="1">
        <v>77</v>
      </c>
      <c r="S84" s="4">
        <f t="shared" si="66"/>
        <v>-14.741935483870961</v>
      </c>
      <c r="T84" s="4">
        <f t="shared" si="87"/>
        <v>-200.7297000739494</v>
      </c>
      <c r="U84" s="2" t="b">
        <f>T84&lt;=-$R$128</f>
        <v>1</v>
      </c>
      <c r="V84" s="1">
        <v>86</v>
      </c>
      <c r="W84" s="4">
        <f t="shared" si="67"/>
        <v>-0.74193548387096087</v>
      </c>
      <c r="X84" s="4">
        <f t="shared" si="88"/>
        <v>-61.957529812949396</v>
      </c>
      <c r="Y84" s="2" t="b">
        <f>X84&lt;=-$V$128</f>
        <v>1</v>
      </c>
      <c r="Z84" s="1">
        <v>84</v>
      </c>
      <c r="AA84" s="4">
        <f t="shared" si="68"/>
        <v>-5.2580645161290391</v>
      </c>
      <c r="AB84" s="4">
        <f t="shared" si="89"/>
        <v>-38.071867444606127</v>
      </c>
      <c r="AC84" s="2" t="b">
        <f>AB84&lt;=-$Z$128</f>
        <v>1</v>
      </c>
      <c r="AD84" s="1">
        <v>82</v>
      </c>
      <c r="AE84" s="4">
        <f t="shared" si="69"/>
        <v>-3.5806451612903203</v>
      </c>
      <c r="AF84" s="4">
        <f t="shared" si="90"/>
        <v>-46.364768707180346</v>
      </c>
      <c r="AG84" s="2" t="b">
        <f>AF84&lt;=-$AD$128</f>
        <v>1</v>
      </c>
      <c r="AH84" s="1">
        <v>75</v>
      </c>
      <c r="AI84" s="4">
        <f t="shared" si="70"/>
        <v>-12.838709677419359</v>
      </c>
      <c r="AJ84" s="4">
        <f t="shared" si="91"/>
        <v>-195.58280561219996</v>
      </c>
      <c r="AK84" s="2" t="b">
        <f>AJ84&lt;=-$AH$128</f>
        <v>1</v>
      </c>
      <c r="AL84" s="1">
        <v>90</v>
      </c>
      <c r="AM84" s="4">
        <f t="shared" si="71"/>
        <v>3.0645161290322562</v>
      </c>
      <c r="AN84" s="4">
        <f t="shared" si="92"/>
        <v>0</v>
      </c>
      <c r="AO84" s="2" t="b">
        <f>AN84&lt;=-$AL$128</f>
        <v>0</v>
      </c>
      <c r="AP84" s="1">
        <v>75</v>
      </c>
      <c r="AQ84" s="4">
        <f t="shared" si="72"/>
        <v>-15.193548387096769</v>
      </c>
      <c r="AR84" s="4">
        <f t="shared" si="93"/>
        <v>-150.12943095413681</v>
      </c>
      <c r="AS84" s="2" t="b">
        <f>AR84&lt;=-$AP$128</f>
        <v>1</v>
      </c>
      <c r="AT84" s="1">
        <v>78</v>
      </c>
      <c r="AU84" s="4">
        <f t="shared" si="73"/>
        <v>-8.4193548387096797</v>
      </c>
      <c r="AV84" s="4">
        <f t="shared" si="94"/>
        <v>-40.937469129479808</v>
      </c>
      <c r="AW84" s="2" t="b">
        <f>AV84&lt;=-$AT$128</f>
        <v>1</v>
      </c>
      <c r="AX84" s="1">
        <v>75</v>
      </c>
      <c r="AY84" s="4">
        <f t="shared" si="74"/>
        <v>-14.161290322580641</v>
      </c>
      <c r="AZ84" s="4">
        <f t="shared" si="95"/>
        <v>-163.47605961961992</v>
      </c>
      <c r="BA84" s="2" t="b">
        <f>AZ84&lt;=-$AX$128</f>
        <v>1</v>
      </c>
      <c r="BB84" s="1">
        <v>79</v>
      </c>
      <c r="BC84" s="4">
        <f t="shared" si="75"/>
        <v>-7.6451612903225765</v>
      </c>
      <c r="BD84" s="4">
        <f t="shared" si="96"/>
        <v>-122.76816794093172</v>
      </c>
      <c r="BE84" s="2" t="b">
        <f>BD84&lt;=-$BB$128</f>
        <v>1</v>
      </c>
      <c r="BF84" s="1">
        <v>95</v>
      </c>
      <c r="BG84" s="4">
        <f t="shared" si="76"/>
        <v>3.7419354838709609</v>
      </c>
      <c r="BH84" s="4">
        <f t="shared" si="97"/>
        <v>0</v>
      </c>
      <c r="BI84" s="2" t="b">
        <f>BH84&lt;=-$BF$128</f>
        <v>0</v>
      </c>
      <c r="BJ84" s="1">
        <v>86</v>
      </c>
      <c r="BK84" s="4">
        <f t="shared" si="77"/>
        <v>-5.9354838709677438</v>
      </c>
      <c r="BL84" s="4">
        <f t="shared" si="98"/>
        <v>-170.5808848506143</v>
      </c>
      <c r="BM84" s="2" t="b">
        <f>BL84&lt;=-$BJ$128</f>
        <v>1</v>
      </c>
      <c r="BN84" s="1">
        <v>85</v>
      </c>
      <c r="BO84" s="4">
        <f t="shared" si="78"/>
        <v>-9.0967741935483843</v>
      </c>
      <c r="BP84" s="4">
        <f t="shared" si="99"/>
        <v>-301.40561249630986</v>
      </c>
      <c r="BQ84" s="2" t="b">
        <f>BP84&lt;=-$BN$128</f>
        <v>1</v>
      </c>
      <c r="BR84" s="1">
        <v>73</v>
      </c>
      <c r="BS84" s="4">
        <f t="shared" si="79"/>
        <v>-11.709677419354833</v>
      </c>
      <c r="BT84" s="4">
        <f t="shared" si="100"/>
        <v>-13.861765128239918</v>
      </c>
      <c r="BU84" s="9" t="b">
        <f>BT84&lt;=-$BR$128</f>
        <v>0</v>
      </c>
      <c r="BV84" s="1">
        <v>87</v>
      </c>
      <c r="BW84" s="2">
        <f t="shared" si="80"/>
        <v>0.3870967741935516</v>
      </c>
      <c r="BX84" s="4">
        <f t="shared" si="101"/>
        <v>-9.5671670508116193</v>
      </c>
      <c r="BY84" s="2" t="b">
        <f>BX84&lt;=-$BV$128</f>
        <v>0</v>
      </c>
      <c r="BZ84" s="1">
        <v>77</v>
      </c>
      <c r="CA84" s="2">
        <f t="shared" si="81"/>
        <v>-13.064516129032256</v>
      </c>
      <c r="CB84" s="4">
        <f t="shared" si="102"/>
        <v>-130.55915711401934</v>
      </c>
      <c r="CC84" s="2" t="b">
        <f t="shared" si="82"/>
        <v>1</v>
      </c>
    </row>
    <row r="85" spans="1:81" x14ac:dyDescent="0.2">
      <c r="A85" s="3">
        <v>45922</v>
      </c>
      <c r="B85" s="1">
        <v>81</v>
      </c>
      <c r="C85" s="2">
        <f t="shared" si="62"/>
        <v>-10.193548387096769</v>
      </c>
      <c r="D85" s="4">
        <f t="shared" si="83"/>
        <v>-169.55794312475211</v>
      </c>
      <c r="E85" s="2" t="b">
        <f>D85&lt;=-$B$128</f>
        <v>1</v>
      </c>
      <c r="F85" s="1">
        <v>70</v>
      </c>
      <c r="G85" s="4">
        <f t="shared" si="63"/>
        <v>-17.258064516129039</v>
      </c>
      <c r="H85" s="4">
        <f t="shared" si="84"/>
        <v>-15.044591596576737</v>
      </c>
      <c r="I85" s="2" t="b">
        <f>H85&lt;=-$F$128</f>
        <v>0</v>
      </c>
      <c r="J85" s="1">
        <v>88</v>
      </c>
      <c r="K85" s="4">
        <f t="shared" si="64"/>
        <v>-1.7096774193548328</v>
      </c>
      <c r="L85" s="4">
        <f t="shared" si="85"/>
        <v>-123.19348576115438</v>
      </c>
      <c r="M85" s="2" t="b">
        <f>L85&lt;=-$J$128</f>
        <v>1</v>
      </c>
      <c r="N85" s="1">
        <v>72</v>
      </c>
      <c r="O85" s="4">
        <f t="shared" si="65"/>
        <v>-15.645161290322577</v>
      </c>
      <c r="P85" s="4">
        <f t="shared" si="86"/>
        <v>-51.277605136915128</v>
      </c>
      <c r="Q85" s="2" t="b">
        <f>P85&lt;=-$N$128</f>
        <v>1</v>
      </c>
      <c r="R85" s="1">
        <v>73</v>
      </c>
      <c r="S85" s="4">
        <f t="shared" si="66"/>
        <v>-18.741935483870961</v>
      </c>
      <c r="T85" s="4">
        <f t="shared" si="87"/>
        <v>-216.71794790325157</v>
      </c>
      <c r="U85" s="2" t="b">
        <f>T85&lt;=-$R$128</f>
        <v>1</v>
      </c>
      <c r="V85" s="1">
        <v>87</v>
      </c>
      <c r="W85" s="4">
        <f t="shared" si="67"/>
        <v>0.25806451612903913</v>
      </c>
      <c r="X85" s="4">
        <f t="shared" si="88"/>
        <v>-60.395831005467372</v>
      </c>
      <c r="Y85" s="2" t="b">
        <f>X85&lt;=-$V$128</f>
        <v>1</v>
      </c>
      <c r="Z85" s="1">
        <v>77</v>
      </c>
      <c r="AA85" s="4">
        <f t="shared" si="68"/>
        <v>-12.258064516129039</v>
      </c>
      <c r="AB85" s="4">
        <f t="shared" si="89"/>
        <v>-48.459246961706363</v>
      </c>
      <c r="AC85" s="2" t="b">
        <f>AB85&lt;=-$Z$128</f>
        <v>1</v>
      </c>
      <c r="AD85" s="1">
        <v>75</v>
      </c>
      <c r="AE85" s="4">
        <f t="shared" si="69"/>
        <v>-10.58064516129032</v>
      </c>
      <c r="AF85" s="4">
        <f t="shared" si="90"/>
        <v>-55.200066751379119</v>
      </c>
      <c r="AG85" s="2" t="b">
        <f>AF85&lt;=-$AD$128</f>
        <v>1</v>
      </c>
      <c r="AH85" s="1">
        <v>80</v>
      </c>
      <c r="AI85" s="4">
        <f t="shared" si="70"/>
        <v>-7.8387096774193594</v>
      </c>
      <c r="AJ85" s="4">
        <f t="shared" si="91"/>
        <v>-201.87180147628933</v>
      </c>
      <c r="AK85" s="2" t="b">
        <f>AJ85&lt;=-$AH$128</f>
        <v>1</v>
      </c>
      <c r="AL85" s="1">
        <v>86</v>
      </c>
      <c r="AM85" s="4">
        <f t="shared" si="71"/>
        <v>-0.93548387096774377</v>
      </c>
      <c r="AN85" s="4">
        <f t="shared" si="92"/>
        <v>0</v>
      </c>
      <c r="AO85" s="2" t="b">
        <f>AN85&lt;=-$AL$128</f>
        <v>0</v>
      </c>
      <c r="AP85" s="1">
        <v>82</v>
      </c>
      <c r="AQ85" s="4">
        <f t="shared" si="72"/>
        <v>-8.1935483870967687</v>
      </c>
      <c r="AR85" s="4">
        <f t="shared" si="93"/>
        <v>-156.20394121494959</v>
      </c>
      <c r="AS85" s="2" t="b">
        <f>AR85&lt;=-$AP$128</f>
        <v>1</v>
      </c>
      <c r="AT85" s="1">
        <v>86</v>
      </c>
      <c r="AU85" s="4">
        <f t="shared" si="73"/>
        <v>-0.41935483870967971</v>
      </c>
      <c r="AV85" s="4">
        <f t="shared" si="94"/>
        <v>-39.679652770664781</v>
      </c>
      <c r="AW85" s="2" t="b">
        <f>AV85&lt;=-$AT$128</f>
        <v>1</v>
      </c>
      <c r="AX85" s="1">
        <v>84</v>
      </c>
      <c r="AY85" s="4">
        <f t="shared" si="74"/>
        <v>-5.1612903225806406</v>
      </c>
      <c r="AZ85" s="4">
        <f t="shared" si="95"/>
        <v>-167.26441650005592</v>
      </c>
      <c r="BA85" s="2" t="b">
        <f>AZ85&lt;=-$AX$128</f>
        <v>1</v>
      </c>
      <c r="BB85" s="1">
        <v>84</v>
      </c>
      <c r="BC85" s="4">
        <f t="shared" si="75"/>
        <v>-2.6451612903225765</v>
      </c>
      <c r="BD85" s="4">
        <f t="shared" si="96"/>
        <v>-123.56694363096756</v>
      </c>
      <c r="BE85" s="2" t="b">
        <f>BD85&lt;=-$BB$128</f>
        <v>1</v>
      </c>
      <c r="BF85" s="1">
        <v>92</v>
      </c>
      <c r="BG85" s="4">
        <f t="shared" si="76"/>
        <v>0.74193548387096087</v>
      </c>
      <c r="BH85" s="4">
        <f t="shared" si="97"/>
        <v>0</v>
      </c>
      <c r="BI85" s="2" t="b">
        <f>BH85&lt;=-$BF$128</f>
        <v>0</v>
      </c>
      <c r="BJ85" s="1">
        <v>80</v>
      </c>
      <c r="BK85" s="4">
        <f t="shared" si="77"/>
        <v>-11.935483870967744</v>
      </c>
      <c r="BL85" s="4">
        <f t="shared" si="98"/>
        <v>-180.77982289787064</v>
      </c>
      <c r="BM85" s="2" t="b">
        <f>BL85&lt;=-$BJ$128</f>
        <v>1</v>
      </c>
      <c r="BN85" s="1">
        <v>87</v>
      </c>
      <c r="BO85" s="4">
        <f t="shared" si="78"/>
        <v>-7.0967741935483843</v>
      </c>
      <c r="BP85" s="4">
        <f t="shared" si="99"/>
        <v>-306.20980866970393</v>
      </c>
      <c r="BQ85" s="2" t="b">
        <f>BP85&lt;=-$BN$128</f>
        <v>1</v>
      </c>
      <c r="BR85" s="1">
        <v>82</v>
      </c>
      <c r="BS85" s="4">
        <f t="shared" si="79"/>
        <v>-2.7096774193548328</v>
      </c>
      <c r="BT85" s="4">
        <f t="shared" si="100"/>
        <v>-14.634118153887901</v>
      </c>
      <c r="BU85" s="2" t="b">
        <f>BT85&lt;=-$BR$128</f>
        <v>0</v>
      </c>
      <c r="BV85" s="1">
        <v>82</v>
      </c>
      <c r="BW85" s="2">
        <f t="shared" si="80"/>
        <v>-4.6129032258064484</v>
      </c>
      <c r="BX85" s="4">
        <f t="shared" si="101"/>
        <v>-12.388062932163072</v>
      </c>
      <c r="BY85" s="2" t="b">
        <f>BX85&lt;=-$BV$128</f>
        <v>0</v>
      </c>
      <c r="BZ85" s="1">
        <v>76</v>
      </c>
      <c r="CA85" s="2">
        <f t="shared" si="81"/>
        <v>-14.064516129032256</v>
      </c>
      <c r="CB85" s="4">
        <f t="shared" si="102"/>
        <v>-142.84446235115331</v>
      </c>
      <c r="CC85" s="2" t="b">
        <f t="shared" si="82"/>
        <v>1</v>
      </c>
    </row>
    <row r="86" spans="1:81" x14ac:dyDescent="0.2">
      <c r="A86" s="3">
        <v>45923</v>
      </c>
      <c r="B86" s="1">
        <v>84</v>
      </c>
      <c r="C86" s="2">
        <f t="shared" si="62"/>
        <v>-7.1935483870967687</v>
      </c>
      <c r="D86" s="4">
        <f t="shared" si="83"/>
        <v>-174.30057551016466</v>
      </c>
      <c r="E86" s="2" t="b">
        <f>D86&lt;=-$B$128</f>
        <v>1</v>
      </c>
      <c r="F86" s="1">
        <v>80</v>
      </c>
      <c r="G86" s="4">
        <f t="shared" si="63"/>
        <v>-7.2580645161290391</v>
      </c>
      <c r="H86" s="4">
        <f t="shared" si="84"/>
        <v>-20.089183193153474</v>
      </c>
      <c r="I86" s="2" t="b">
        <f>H86&lt;=-$F$128</f>
        <v>0</v>
      </c>
      <c r="J86" s="1">
        <v>84</v>
      </c>
      <c r="K86" s="4">
        <f t="shared" si="64"/>
        <v>-5.7096774193548328</v>
      </c>
      <c r="L86" s="4">
        <f t="shared" si="85"/>
        <v>-127.38004385717362</v>
      </c>
      <c r="M86" s="2" t="b">
        <f>L86&lt;=-$J$128</f>
        <v>1</v>
      </c>
      <c r="N86" s="1">
        <v>75</v>
      </c>
      <c r="O86" s="4">
        <f t="shared" si="65"/>
        <v>-12.645161290322577</v>
      </c>
      <c r="P86" s="4">
        <f t="shared" si="86"/>
        <v>-61.031548727903001</v>
      </c>
      <c r="Q86" s="2" t="b">
        <f>P86&lt;=-$N$128</f>
        <v>1</v>
      </c>
      <c r="R86" s="1">
        <v>81</v>
      </c>
      <c r="S86" s="4">
        <f t="shared" si="66"/>
        <v>-10.741935483870961</v>
      </c>
      <c r="T86" s="4">
        <f t="shared" si="87"/>
        <v>-224.70619573255374</v>
      </c>
      <c r="U86" s="2" t="b">
        <f>T86&lt;=-$R$128</f>
        <v>1</v>
      </c>
      <c r="V86" s="1">
        <v>88</v>
      </c>
      <c r="W86" s="4">
        <f t="shared" si="67"/>
        <v>1.2580645161290391</v>
      </c>
      <c r="X86" s="4">
        <f t="shared" si="88"/>
        <v>-57.834132197985348</v>
      </c>
      <c r="Y86" s="2" t="b">
        <f>X86&lt;=-$V$128</f>
        <v>1</v>
      </c>
      <c r="Z86" s="1">
        <v>82</v>
      </c>
      <c r="AA86" s="4">
        <f t="shared" si="68"/>
        <v>-7.2580645161290391</v>
      </c>
      <c r="AB86" s="4">
        <f t="shared" si="89"/>
        <v>-53.846626478806598</v>
      </c>
      <c r="AC86" s="2" t="b">
        <f>AB86&lt;=-$Z$128</f>
        <v>1</v>
      </c>
      <c r="AD86" s="1">
        <v>81</v>
      </c>
      <c r="AE86" s="4">
        <f t="shared" si="69"/>
        <v>-4.5806451612903203</v>
      </c>
      <c r="AF86" s="4">
        <f t="shared" si="90"/>
        <v>-58.035364795577891</v>
      </c>
      <c r="AG86" s="2" t="b">
        <f>AF86&lt;=-$AD$128</f>
        <v>1</v>
      </c>
      <c r="AH86" s="1">
        <v>84</v>
      </c>
      <c r="AI86" s="4">
        <f t="shared" si="70"/>
        <v>-3.8387096774193594</v>
      </c>
      <c r="AJ86" s="4">
        <f t="shared" si="91"/>
        <v>-204.16079734037871</v>
      </c>
      <c r="AK86" s="2" t="b">
        <f>AJ86&lt;=-$AH$128</f>
        <v>1</v>
      </c>
      <c r="AL86" s="1">
        <v>87</v>
      </c>
      <c r="AM86" s="4">
        <f t="shared" si="71"/>
        <v>6.4516129032256231E-2</v>
      </c>
      <c r="AN86" s="4">
        <f t="shared" si="92"/>
        <v>0</v>
      </c>
      <c r="AO86" s="2" t="b">
        <f>AN86&lt;=-$AL$128</f>
        <v>0</v>
      </c>
      <c r="AP86" s="1">
        <v>86</v>
      </c>
      <c r="AQ86" s="4">
        <f t="shared" si="72"/>
        <v>-4.1935483870967687</v>
      </c>
      <c r="AR86" s="4">
        <f t="shared" si="93"/>
        <v>-158.27845147576238</v>
      </c>
      <c r="AS86" s="2" t="b">
        <f>AR86&lt;=-$AP$128</f>
        <v>1</v>
      </c>
      <c r="AT86" s="1">
        <v>83</v>
      </c>
      <c r="AU86" s="4">
        <f t="shared" si="73"/>
        <v>-3.4193548387096797</v>
      </c>
      <c r="AV86" s="4">
        <f t="shared" si="94"/>
        <v>-41.421836411849753</v>
      </c>
      <c r="AW86" s="2" t="b">
        <f>AV86&lt;=-$AT$128</f>
        <v>1</v>
      </c>
      <c r="AX86" s="1">
        <v>82</v>
      </c>
      <c r="AY86" s="4">
        <f t="shared" si="74"/>
        <v>-7.1612903225806406</v>
      </c>
      <c r="AZ86" s="4">
        <f t="shared" si="95"/>
        <v>-173.05277338049191</v>
      </c>
      <c r="BA86" s="2" t="b">
        <f>AZ86&lt;=-$AX$128</f>
        <v>1</v>
      </c>
      <c r="BB86" s="1">
        <v>83</v>
      </c>
      <c r="BC86" s="4">
        <f t="shared" si="75"/>
        <v>-3.6451612903225765</v>
      </c>
      <c r="BD86" s="4">
        <f t="shared" si="96"/>
        <v>-125.3657193210034</v>
      </c>
      <c r="BE86" s="2" t="b">
        <f>BD86&lt;=-$BB$128</f>
        <v>1</v>
      </c>
      <c r="BF86" s="1">
        <v>91</v>
      </c>
      <c r="BG86" s="4">
        <f t="shared" si="76"/>
        <v>-0.25806451612903913</v>
      </c>
      <c r="BH86" s="4">
        <f t="shared" si="97"/>
        <v>0</v>
      </c>
      <c r="BI86" s="2" t="b">
        <f>BH86&lt;=-$BF$128</f>
        <v>0</v>
      </c>
      <c r="BJ86" s="1">
        <v>83</v>
      </c>
      <c r="BK86" s="4">
        <f t="shared" si="77"/>
        <v>-8.9354838709677438</v>
      </c>
      <c r="BL86" s="4">
        <f t="shared" si="98"/>
        <v>-187.97876094512699</v>
      </c>
      <c r="BM86" s="2" t="b">
        <f>BL86&lt;=-$BJ$128</f>
        <v>1</v>
      </c>
      <c r="BN86" s="1">
        <v>81</v>
      </c>
      <c r="BO86" s="4">
        <f t="shared" si="78"/>
        <v>-13.096774193548384</v>
      </c>
      <c r="BP86" s="4">
        <f t="shared" si="99"/>
        <v>-317.01400484309801</v>
      </c>
      <c r="BQ86" s="2" t="b">
        <f>BP86&lt;=-$BN$128</f>
        <v>1</v>
      </c>
      <c r="BR86" s="1">
        <v>82</v>
      </c>
      <c r="BS86" s="4">
        <f t="shared" si="79"/>
        <v>-2.7096774193548328</v>
      </c>
      <c r="BT86" s="4">
        <f t="shared" si="100"/>
        <v>-15.406471179535885</v>
      </c>
      <c r="BU86" s="2" t="b">
        <f>BT86&lt;=-$BR$128</f>
        <v>0</v>
      </c>
      <c r="BV86" s="1">
        <v>77</v>
      </c>
      <c r="BW86" s="2">
        <f t="shared" si="80"/>
        <v>-9.6129032258064484</v>
      </c>
      <c r="BX86" s="4">
        <f t="shared" si="101"/>
        <v>-20.208958813514528</v>
      </c>
      <c r="BY86" s="8" t="b">
        <f>BX86&lt;=-$BV$128</f>
        <v>1</v>
      </c>
      <c r="BZ86" s="1">
        <v>81</v>
      </c>
      <c r="CA86" s="2">
        <f t="shared" si="81"/>
        <v>-9.0645161290322562</v>
      </c>
      <c r="CB86" s="4">
        <f t="shared" si="102"/>
        <v>-150.12976758828728</v>
      </c>
      <c r="CC86" s="2" t="b">
        <f t="shared" si="82"/>
        <v>1</v>
      </c>
    </row>
    <row r="87" spans="1:81" x14ac:dyDescent="0.2">
      <c r="A87" s="3">
        <v>45924</v>
      </c>
      <c r="B87" s="1">
        <v>84</v>
      </c>
      <c r="C87" s="2">
        <f t="shared" si="62"/>
        <v>-7.1935483870967687</v>
      </c>
      <c r="D87" s="4">
        <f t="shared" si="83"/>
        <v>-179.04320789557721</v>
      </c>
      <c r="E87" s="2" t="b">
        <f>D87&lt;=-$B$128</f>
        <v>1</v>
      </c>
      <c r="F87" s="1">
        <v>82</v>
      </c>
      <c r="G87" s="4">
        <f t="shared" si="63"/>
        <v>-5.2580645161290391</v>
      </c>
      <c r="H87" s="4">
        <f t="shared" si="84"/>
        <v>-23.133774789730211</v>
      </c>
      <c r="I87" s="8" t="b">
        <f>H87&lt;=-$F$128</f>
        <v>1</v>
      </c>
      <c r="J87" s="1">
        <v>81</v>
      </c>
      <c r="K87" s="4">
        <f t="shared" si="64"/>
        <v>-8.7096774193548328</v>
      </c>
      <c r="L87" s="4">
        <f t="shared" si="85"/>
        <v>-134.56660195319284</v>
      </c>
      <c r="M87" s="2" t="b">
        <f>L87&lt;=-$J$128</f>
        <v>1</v>
      </c>
      <c r="N87" s="1">
        <v>78</v>
      </c>
      <c r="O87" s="4">
        <f t="shared" si="65"/>
        <v>-9.6451612903225765</v>
      </c>
      <c r="P87" s="4">
        <f t="shared" si="86"/>
        <v>-67.785492318890874</v>
      </c>
      <c r="Q87" s="2" t="b">
        <f>P87&lt;=-$N$128</f>
        <v>1</v>
      </c>
      <c r="R87" s="1">
        <v>84</v>
      </c>
      <c r="S87" s="4">
        <f t="shared" si="66"/>
        <v>-7.7419354838709609</v>
      </c>
      <c r="T87" s="4">
        <f t="shared" si="87"/>
        <v>-229.69444356185591</v>
      </c>
      <c r="U87" s="2" t="b">
        <f>T87&lt;=-$R$128</f>
        <v>1</v>
      </c>
      <c r="V87" s="1">
        <v>69</v>
      </c>
      <c r="W87" s="4">
        <f t="shared" si="67"/>
        <v>-17.741935483870961</v>
      </c>
      <c r="X87" s="4">
        <f t="shared" si="88"/>
        <v>-74.272433390503323</v>
      </c>
      <c r="Y87" s="2" t="b">
        <f>X87&lt;=-$V$128</f>
        <v>1</v>
      </c>
      <c r="Z87" s="1">
        <v>73</v>
      </c>
      <c r="AA87" s="4">
        <f t="shared" si="68"/>
        <v>-16.258064516129039</v>
      </c>
      <c r="AB87" s="4">
        <f t="shared" si="89"/>
        <v>-68.234005995906827</v>
      </c>
      <c r="AC87" s="2" t="b">
        <f>AB87&lt;=-$Z$128</f>
        <v>1</v>
      </c>
      <c r="AD87" s="1">
        <v>80</v>
      </c>
      <c r="AE87" s="4">
        <f t="shared" si="69"/>
        <v>-5.5806451612903203</v>
      </c>
      <c r="AF87" s="4">
        <f t="shared" si="90"/>
        <v>-61.870662839776664</v>
      </c>
      <c r="AG87" s="2" t="b">
        <f>AF87&lt;=-$AD$128</f>
        <v>1</v>
      </c>
      <c r="AH87" s="1">
        <v>82</v>
      </c>
      <c r="AI87" s="4">
        <f t="shared" si="70"/>
        <v>-5.8387096774193594</v>
      </c>
      <c r="AJ87" s="4">
        <f t="shared" si="91"/>
        <v>-208.44979320446808</v>
      </c>
      <c r="AK87" s="2" t="b">
        <f>AJ87&lt;=-$AH$128</f>
        <v>1</v>
      </c>
      <c r="AL87" s="1">
        <v>88</v>
      </c>
      <c r="AM87" s="4">
        <f t="shared" si="71"/>
        <v>1.0645161290322562</v>
      </c>
      <c r="AN87" s="4">
        <f t="shared" si="92"/>
        <v>0</v>
      </c>
      <c r="AO87" s="2" t="b">
        <f>AN87&lt;=-$AL$128</f>
        <v>0</v>
      </c>
      <c r="AP87" s="1">
        <v>84</v>
      </c>
      <c r="AQ87" s="4">
        <f t="shared" si="72"/>
        <v>-6.1935483870967687</v>
      </c>
      <c r="AR87" s="4">
        <f t="shared" si="93"/>
        <v>-162.35296173657517</v>
      </c>
      <c r="AS87" s="2" t="b">
        <f>AR87&lt;=-$AP$128</f>
        <v>1</v>
      </c>
      <c r="AT87" s="1">
        <v>89</v>
      </c>
      <c r="AU87" s="4">
        <f t="shared" si="73"/>
        <v>2.5806451612903203</v>
      </c>
      <c r="AV87" s="4">
        <f t="shared" si="94"/>
        <v>-37.164020053034726</v>
      </c>
      <c r="AW87" s="2" t="b">
        <f>AV87&lt;=-$AT$128</f>
        <v>1</v>
      </c>
      <c r="AX87" s="1">
        <v>78</v>
      </c>
      <c r="AY87" s="4">
        <f t="shared" si="74"/>
        <v>-11.161290322580641</v>
      </c>
      <c r="AZ87" s="4">
        <f t="shared" si="95"/>
        <v>-182.84113026092791</v>
      </c>
      <c r="BA87" s="2" t="b">
        <f>AZ87&lt;=-$AX$128</f>
        <v>1</v>
      </c>
      <c r="BB87" s="1">
        <v>85</v>
      </c>
      <c r="BC87" s="4">
        <f t="shared" si="75"/>
        <v>-1.6451612903225765</v>
      </c>
      <c r="BD87" s="4">
        <f t="shared" si="96"/>
        <v>-125.16449501103924</v>
      </c>
      <c r="BE87" s="2" t="b">
        <f>BD87&lt;=-$BB$128</f>
        <v>1</v>
      </c>
      <c r="BF87" s="1">
        <v>88</v>
      </c>
      <c r="BG87" s="4">
        <f t="shared" si="76"/>
        <v>-3.2580645161290391</v>
      </c>
      <c r="BH87" s="4">
        <f t="shared" si="97"/>
        <v>-1.2292399716555495</v>
      </c>
      <c r="BI87" s="2" t="b">
        <f>BH87&lt;=-$BF$128</f>
        <v>0</v>
      </c>
      <c r="BJ87" s="1">
        <v>82</v>
      </c>
      <c r="BK87" s="4">
        <f t="shared" si="77"/>
        <v>-9.9354838709677438</v>
      </c>
      <c r="BL87" s="4">
        <f t="shared" si="98"/>
        <v>-196.17769899238334</v>
      </c>
      <c r="BM87" s="2" t="b">
        <f>BL87&lt;=-$BJ$128</f>
        <v>1</v>
      </c>
      <c r="BN87" s="1">
        <v>78</v>
      </c>
      <c r="BO87" s="4">
        <f t="shared" si="78"/>
        <v>-16.096774193548384</v>
      </c>
      <c r="BP87" s="4">
        <f t="shared" si="99"/>
        <v>-330.81820101649208</v>
      </c>
      <c r="BQ87" s="2" t="b">
        <f>BP87&lt;=-$BN$128</f>
        <v>1</v>
      </c>
      <c r="BR87" s="1">
        <v>71</v>
      </c>
      <c r="BS87" s="4">
        <f t="shared" si="79"/>
        <v>-13.709677419354833</v>
      </c>
      <c r="BT87" s="4">
        <f t="shared" si="100"/>
        <v>-27.178824205183869</v>
      </c>
      <c r="BU87" s="8" t="b">
        <f>BT87&lt;=-$BR$128</f>
        <v>1</v>
      </c>
      <c r="BV87" s="1">
        <v>78</v>
      </c>
      <c r="BW87" s="2">
        <f t="shared" si="80"/>
        <v>-8.6129032258064484</v>
      </c>
      <c r="BX87" s="4">
        <f t="shared" si="101"/>
        <v>-27.029854694865982</v>
      </c>
      <c r="BY87" s="2" t="b">
        <f>BX87&lt;=-$BV$128</f>
        <v>1</v>
      </c>
      <c r="BZ87" s="1">
        <v>74</v>
      </c>
      <c r="CA87" s="2">
        <f t="shared" si="81"/>
        <v>-16.064516129032256</v>
      </c>
      <c r="CB87" s="4">
        <f t="shared" si="102"/>
        <v>-164.41507282542125</v>
      </c>
      <c r="CC87" s="2" t="b">
        <f t="shared" si="82"/>
        <v>1</v>
      </c>
    </row>
    <row r="88" spans="1:81" x14ac:dyDescent="0.2">
      <c r="A88" s="3">
        <v>45925</v>
      </c>
      <c r="B88" s="1">
        <v>87</v>
      </c>
      <c r="C88" s="2">
        <f t="shared" si="62"/>
        <v>-4.1935483870967687</v>
      </c>
      <c r="D88" s="4">
        <f t="shared" si="83"/>
        <v>-180.78584028098976</v>
      </c>
      <c r="E88" s="2" t="b">
        <f>D88&lt;=-$B$128</f>
        <v>1</v>
      </c>
      <c r="F88" s="1">
        <v>66</v>
      </c>
      <c r="G88" s="4">
        <f t="shared" si="63"/>
        <v>-21.258064516129039</v>
      </c>
      <c r="H88" s="4">
        <f t="shared" si="84"/>
        <v>-42.178366386306948</v>
      </c>
      <c r="I88" s="2" t="b">
        <f>H88&lt;=-$F$128</f>
        <v>1</v>
      </c>
      <c r="J88" s="1">
        <v>82</v>
      </c>
      <c r="K88" s="4">
        <f t="shared" si="64"/>
        <v>-7.7096774193548328</v>
      </c>
      <c r="L88" s="4">
        <f t="shared" si="85"/>
        <v>-140.75316004921206</v>
      </c>
      <c r="M88" s="2" t="b">
        <f>L88&lt;=-$J$128</f>
        <v>1</v>
      </c>
      <c r="N88" s="1">
        <v>81</v>
      </c>
      <c r="O88" s="4">
        <f t="shared" si="65"/>
        <v>-6.6451612903225765</v>
      </c>
      <c r="P88" s="4">
        <f t="shared" si="86"/>
        <v>-71.539435909878748</v>
      </c>
      <c r="Q88" s="2" t="b">
        <f>P88&lt;=-$N$128</f>
        <v>1</v>
      </c>
      <c r="R88" s="1">
        <v>82</v>
      </c>
      <c r="S88" s="4">
        <f t="shared" si="66"/>
        <v>-9.7419354838709609</v>
      </c>
      <c r="T88" s="4">
        <f t="shared" si="87"/>
        <v>-236.68269139115807</v>
      </c>
      <c r="U88" s="2" t="b">
        <f>T88&lt;=-$R$128</f>
        <v>1</v>
      </c>
      <c r="V88" s="1">
        <v>66</v>
      </c>
      <c r="W88" s="4">
        <f t="shared" si="67"/>
        <v>-20.741935483870961</v>
      </c>
      <c r="X88" s="4">
        <f t="shared" si="88"/>
        <v>-93.710734583021306</v>
      </c>
      <c r="Y88" s="2" t="b">
        <f>X88&lt;=-$V$128</f>
        <v>1</v>
      </c>
      <c r="Z88" s="1">
        <v>69</v>
      </c>
      <c r="AA88" s="4">
        <f t="shared" si="68"/>
        <v>-20.258064516129039</v>
      </c>
      <c r="AB88" s="4">
        <f t="shared" si="89"/>
        <v>-86.621385513007056</v>
      </c>
      <c r="AC88" s="2" t="b">
        <f>AB88&lt;=-$Z$128</f>
        <v>1</v>
      </c>
      <c r="AD88" s="1">
        <v>82</v>
      </c>
      <c r="AE88" s="4">
        <f t="shared" si="69"/>
        <v>-3.5806451612903203</v>
      </c>
      <c r="AF88" s="4">
        <f t="shared" si="90"/>
        <v>-63.705960883975443</v>
      </c>
      <c r="AG88" s="2" t="b">
        <f>AF88&lt;=-$AD$128</f>
        <v>1</v>
      </c>
      <c r="AH88" s="1">
        <v>81</v>
      </c>
      <c r="AI88" s="4">
        <f t="shared" si="70"/>
        <v>-6.8387096774193594</v>
      </c>
      <c r="AJ88" s="4">
        <f t="shared" si="91"/>
        <v>-213.73878906855745</v>
      </c>
      <c r="AK88" s="2" t="b">
        <f>AJ88&lt;=-$AH$128</f>
        <v>1</v>
      </c>
      <c r="AL88" s="1">
        <v>85</v>
      </c>
      <c r="AM88" s="4">
        <f t="shared" si="71"/>
        <v>-1.9354838709677438</v>
      </c>
      <c r="AN88" s="4">
        <f t="shared" si="92"/>
        <v>0</v>
      </c>
      <c r="AO88" s="2" t="b">
        <f>AN88&lt;=-$AL$128</f>
        <v>0</v>
      </c>
      <c r="AP88" s="1">
        <v>75</v>
      </c>
      <c r="AQ88" s="4">
        <f t="shared" si="72"/>
        <v>-15.193548387096769</v>
      </c>
      <c r="AR88" s="4">
        <f t="shared" si="93"/>
        <v>-175.42747199738795</v>
      </c>
      <c r="AS88" s="2" t="b">
        <f>AR88&lt;=-$AP$128</f>
        <v>1</v>
      </c>
      <c r="AT88" s="1">
        <v>87</v>
      </c>
      <c r="AU88" s="4">
        <f t="shared" si="73"/>
        <v>0.58064516129032029</v>
      </c>
      <c r="AV88" s="4">
        <f t="shared" si="94"/>
        <v>-34.906203694219698</v>
      </c>
      <c r="AW88" s="2" t="b">
        <f>AV88&lt;=-$AT$128</f>
        <v>1</v>
      </c>
      <c r="AX88" s="1">
        <v>82</v>
      </c>
      <c r="AY88" s="4">
        <f t="shared" si="74"/>
        <v>-7.1612903225806406</v>
      </c>
      <c r="AZ88" s="4">
        <f t="shared" si="95"/>
        <v>-188.62948714136391</v>
      </c>
      <c r="BA88" s="2" t="b">
        <f>AZ88&lt;=-$AX$128</f>
        <v>1</v>
      </c>
      <c r="BB88" s="1">
        <v>87</v>
      </c>
      <c r="BC88" s="4">
        <f t="shared" si="75"/>
        <v>0.35483870967742348</v>
      </c>
      <c r="BD88" s="4">
        <f t="shared" si="96"/>
        <v>-122.96327070107507</v>
      </c>
      <c r="BE88" s="2" t="b">
        <f>BD88&lt;=-$BB$128</f>
        <v>1</v>
      </c>
      <c r="BF88" s="1">
        <v>93</v>
      </c>
      <c r="BG88" s="4">
        <f t="shared" si="76"/>
        <v>1.7419354838709609</v>
      </c>
      <c r="BH88" s="4">
        <f t="shared" si="97"/>
        <v>0</v>
      </c>
      <c r="BI88" s="2" t="b">
        <f>BH88&lt;=-$BF$128</f>
        <v>0</v>
      </c>
      <c r="BJ88" s="1">
        <v>88</v>
      </c>
      <c r="BK88" s="4">
        <f t="shared" si="77"/>
        <v>-3.9354838709677438</v>
      </c>
      <c r="BL88" s="4">
        <f t="shared" si="98"/>
        <v>-198.37663703963969</v>
      </c>
      <c r="BM88" s="2" t="b">
        <f>BL88&lt;=-$BJ$128</f>
        <v>1</v>
      </c>
      <c r="BN88" s="1">
        <v>82</v>
      </c>
      <c r="BO88" s="4">
        <f t="shared" si="78"/>
        <v>-12.096774193548384</v>
      </c>
      <c r="BP88" s="4">
        <f t="shared" si="99"/>
        <v>-340.62239718988616</v>
      </c>
      <c r="BQ88" s="2" t="b">
        <f>BP88&lt;=-$BN$128</f>
        <v>1</v>
      </c>
      <c r="BR88" s="1">
        <v>67</v>
      </c>
      <c r="BS88" s="4">
        <f t="shared" si="79"/>
        <v>-17.709677419354833</v>
      </c>
      <c r="BT88" s="4">
        <f t="shared" si="100"/>
        <v>-42.951177230831853</v>
      </c>
      <c r="BU88" s="2" t="b">
        <f>BT88&lt;=-$BR$128</f>
        <v>1</v>
      </c>
      <c r="BV88" s="1">
        <v>77</v>
      </c>
      <c r="BW88" s="2">
        <f t="shared" si="80"/>
        <v>-9.6129032258064484</v>
      </c>
      <c r="BX88" s="4">
        <f t="shared" si="101"/>
        <v>-34.850750576217436</v>
      </c>
      <c r="BY88" s="2" t="b">
        <f>BX88&lt;=-$BV$128</f>
        <v>1</v>
      </c>
      <c r="BZ88" s="1">
        <v>67</v>
      </c>
      <c r="CA88" s="2">
        <f t="shared" si="81"/>
        <v>-23.064516129032256</v>
      </c>
      <c r="CB88" s="4">
        <f t="shared" si="102"/>
        <v>-185.70037806255522</v>
      </c>
      <c r="CC88" s="2" t="b">
        <f t="shared" si="82"/>
        <v>1</v>
      </c>
    </row>
    <row r="89" spans="1:81" x14ac:dyDescent="0.2">
      <c r="A89" s="3">
        <v>45926</v>
      </c>
      <c r="B89" s="1">
        <v>84</v>
      </c>
      <c r="C89" s="2">
        <f t="shared" si="62"/>
        <v>-7.1935483870967687</v>
      </c>
      <c r="D89" s="4">
        <f t="shared" si="83"/>
        <v>-185.52847266640231</v>
      </c>
      <c r="E89" s="2" t="b">
        <f>D89&lt;=-$B$128</f>
        <v>1</v>
      </c>
      <c r="F89" s="1">
        <v>70</v>
      </c>
      <c r="G89" s="4">
        <f t="shared" si="63"/>
        <v>-17.258064516129039</v>
      </c>
      <c r="H89" s="4">
        <f t="shared" si="84"/>
        <v>-57.222957982883685</v>
      </c>
      <c r="I89" s="2" t="b">
        <f>H89&lt;=-$F$128</f>
        <v>1</v>
      </c>
      <c r="J89" s="1">
        <v>84</v>
      </c>
      <c r="K89" s="4">
        <f t="shared" si="64"/>
        <v>-5.7096774193548328</v>
      </c>
      <c r="L89" s="4">
        <f t="shared" si="85"/>
        <v>-144.93971814523127</v>
      </c>
      <c r="M89" s="2" t="b">
        <f>L89&lt;=-$J$128</f>
        <v>1</v>
      </c>
      <c r="N89" s="1">
        <v>82</v>
      </c>
      <c r="O89" s="4">
        <f t="shared" si="65"/>
        <v>-5.6451612903225765</v>
      </c>
      <c r="P89" s="4">
        <f t="shared" si="86"/>
        <v>-74.293379500866621</v>
      </c>
      <c r="Q89" s="2" t="b">
        <f>P89&lt;=-$N$128</f>
        <v>1</v>
      </c>
      <c r="R89" s="1">
        <v>68</v>
      </c>
      <c r="S89" s="4">
        <f t="shared" si="66"/>
        <v>-23.741935483870961</v>
      </c>
      <c r="T89" s="4">
        <f t="shared" si="87"/>
        <v>-257.67093922046024</v>
      </c>
      <c r="U89" s="2" t="b">
        <f>T89&lt;=-$R$128</f>
        <v>1</v>
      </c>
      <c r="V89" s="1">
        <v>72</v>
      </c>
      <c r="W89" s="4">
        <f t="shared" si="67"/>
        <v>-14.741935483870961</v>
      </c>
      <c r="X89" s="4">
        <f t="shared" si="88"/>
        <v>-107.14903577553929</v>
      </c>
      <c r="Y89" s="2" t="b">
        <f>X89&lt;=-$V$128</f>
        <v>1</v>
      </c>
      <c r="Z89" s="1">
        <v>75</v>
      </c>
      <c r="AA89" s="4">
        <f t="shared" si="68"/>
        <v>-14.258064516129039</v>
      </c>
      <c r="AB89" s="4">
        <f t="shared" si="89"/>
        <v>-99.008765030107284</v>
      </c>
      <c r="AC89" s="2" t="b">
        <f>AB89&lt;=-$Z$128</f>
        <v>1</v>
      </c>
      <c r="AD89" s="1">
        <v>82</v>
      </c>
      <c r="AE89" s="4">
        <f t="shared" si="69"/>
        <v>-3.5806451612903203</v>
      </c>
      <c r="AF89" s="4">
        <f t="shared" si="90"/>
        <v>-65.541258928174202</v>
      </c>
      <c r="AG89" s="2" t="b">
        <f>AF89&lt;=-$AD$128</f>
        <v>1</v>
      </c>
      <c r="AH89" s="1">
        <v>79</v>
      </c>
      <c r="AI89" s="4">
        <f t="shared" si="70"/>
        <v>-8.8387096774193594</v>
      </c>
      <c r="AJ89" s="4">
        <f t="shared" si="91"/>
        <v>-221.02778493264682</v>
      </c>
      <c r="AK89" s="2" t="b">
        <f>AJ89&lt;=-$AH$128</f>
        <v>1</v>
      </c>
      <c r="AL89" s="1">
        <v>77</v>
      </c>
      <c r="AM89" s="4">
        <f t="shared" si="71"/>
        <v>-9.9354838709677438</v>
      </c>
      <c r="AN89" s="4">
        <f t="shared" si="92"/>
        <v>-7.7334564571550093</v>
      </c>
      <c r="AO89" s="2" t="b">
        <f>AN89&lt;=-$AL$128</f>
        <v>0</v>
      </c>
      <c r="AP89" s="1">
        <v>78</v>
      </c>
      <c r="AQ89" s="4">
        <f t="shared" si="72"/>
        <v>-12.193548387096769</v>
      </c>
      <c r="AR89" s="4">
        <f t="shared" si="93"/>
        <v>-185.50198225820074</v>
      </c>
      <c r="AS89" s="2" t="b">
        <f>AR89&lt;=-$AP$128</f>
        <v>1</v>
      </c>
      <c r="AT89" s="1">
        <v>84</v>
      </c>
      <c r="AU89" s="4">
        <f t="shared" si="73"/>
        <v>-2.4193548387096797</v>
      </c>
      <c r="AV89" s="4">
        <f t="shared" si="94"/>
        <v>-35.648387335404671</v>
      </c>
      <c r="AW89" s="2" t="b">
        <f>AV89&lt;=-$AT$128</f>
        <v>1</v>
      </c>
      <c r="AX89" s="1">
        <v>80</v>
      </c>
      <c r="AY89" s="4">
        <f t="shared" si="74"/>
        <v>-9.1612903225806406</v>
      </c>
      <c r="AZ89" s="4">
        <f t="shared" si="95"/>
        <v>-196.41784402179991</v>
      </c>
      <c r="BA89" s="2" t="b">
        <f>AZ89&lt;=-$AX$128</f>
        <v>1</v>
      </c>
      <c r="BB89" s="1">
        <v>85</v>
      </c>
      <c r="BC89" s="4">
        <f t="shared" si="75"/>
        <v>-1.6451612903225765</v>
      </c>
      <c r="BD89" s="4">
        <f t="shared" si="96"/>
        <v>-122.76204639111091</v>
      </c>
      <c r="BE89" s="2" t="b">
        <f>BD89&lt;=-$BB$128</f>
        <v>1</v>
      </c>
      <c r="BF89" s="1">
        <v>76</v>
      </c>
      <c r="BG89" s="4">
        <f t="shared" si="76"/>
        <v>-15.258064516129039</v>
      </c>
      <c r="BH89" s="4">
        <f t="shared" si="97"/>
        <v>-13.229239971655549</v>
      </c>
      <c r="BI89" s="2" t="b">
        <f>BH89&lt;=-$BF$128</f>
        <v>0</v>
      </c>
      <c r="BJ89" s="1">
        <v>86</v>
      </c>
      <c r="BK89" s="4">
        <f t="shared" si="77"/>
        <v>-5.9354838709677438</v>
      </c>
      <c r="BL89" s="4">
        <f t="shared" si="98"/>
        <v>-202.57557508689604</v>
      </c>
      <c r="BM89" s="2" t="b">
        <f>BL89&lt;=-$BJ$128</f>
        <v>1</v>
      </c>
      <c r="BN89" s="1">
        <v>86</v>
      </c>
      <c r="BO89" s="4">
        <f t="shared" si="78"/>
        <v>-8.0967741935483843</v>
      </c>
      <c r="BP89" s="4">
        <f t="shared" si="99"/>
        <v>-346.42659336328023</v>
      </c>
      <c r="BQ89" s="2" t="b">
        <f>BP89&lt;=-$BN$128</f>
        <v>1</v>
      </c>
      <c r="BR89" s="1">
        <v>78</v>
      </c>
      <c r="BS89" s="4">
        <f t="shared" si="79"/>
        <v>-6.7096774193548328</v>
      </c>
      <c r="BT89" s="4">
        <f t="shared" si="100"/>
        <v>-47.723530256479833</v>
      </c>
      <c r="BU89" s="2" t="b">
        <f>BT89&lt;=-$BR$128</f>
        <v>1</v>
      </c>
      <c r="BV89" s="1">
        <v>74</v>
      </c>
      <c r="BW89" s="2">
        <f t="shared" si="80"/>
        <v>-12.612903225806448</v>
      </c>
      <c r="BX89" s="4">
        <f t="shared" si="101"/>
        <v>-45.67164645756889</v>
      </c>
      <c r="BY89" s="2" t="b">
        <f>BX89&lt;=-$BV$128</f>
        <v>1</v>
      </c>
      <c r="BZ89" s="1">
        <v>71</v>
      </c>
      <c r="CA89" s="2">
        <f t="shared" si="81"/>
        <v>-19.064516129032256</v>
      </c>
      <c r="CB89" s="4">
        <f t="shared" si="102"/>
        <v>-202.98568329968919</v>
      </c>
      <c r="CC89" s="2" t="b">
        <f t="shared" si="82"/>
        <v>1</v>
      </c>
    </row>
    <row r="90" spans="1:81" x14ac:dyDescent="0.2">
      <c r="A90" s="3">
        <v>45927</v>
      </c>
      <c r="B90" s="1">
        <v>79</v>
      </c>
      <c r="C90" s="2">
        <f t="shared" si="62"/>
        <v>-12.193548387096769</v>
      </c>
      <c r="D90" s="4">
        <f t="shared" si="83"/>
        <v>-195.27110505181486</v>
      </c>
      <c r="E90" s="2" t="b">
        <f>D90&lt;=-$B$128</f>
        <v>1</v>
      </c>
      <c r="F90" s="1">
        <v>64</v>
      </c>
      <c r="G90" s="4">
        <f t="shared" si="63"/>
        <v>-23.258064516129039</v>
      </c>
      <c r="H90" s="4">
        <f t="shared" si="84"/>
        <v>-78.267549579460422</v>
      </c>
      <c r="I90" s="2" t="b">
        <f>H90&lt;=-$F$128</f>
        <v>1</v>
      </c>
      <c r="J90" s="1">
        <v>87</v>
      </c>
      <c r="K90" s="4">
        <f t="shared" si="64"/>
        <v>-2.7096774193548328</v>
      </c>
      <c r="L90" s="4">
        <f t="shared" si="85"/>
        <v>-146.12627624125048</v>
      </c>
      <c r="M90" s="2" t="b">
        <f>L90&lt;=-$J$128</f>
        <v>1</v>
      </c>
      <c r="N90" s="1">
        <v>78</v>
      </c>
      <c r="O90" s="4">
        <f t="shared" si="65"/>
        <v>-9.6451612903225765</v>
      </c>
      <c r="P90" s="4">
        <f t="shared" si="86"/>
        <v>-81.047323091854494</v>
      </c>
      <c r="Q90" s="2" t="b">
        <f>P90&lt;=-$N$128</f>
        <v>1</v>
      </c>
      <c r="R90" s="1">
        <v>71</v>
      </c>
      <c r="S90" s="4">
        <f t="shared" si="66"/>
        <v>-20.741935483870961</v>
      </c>
      <c r="T90" s="4">
        <f t="shared" si="87"/>
        <v>-275.65918704976241</v>
      </c>
      <c r="U90" s="2" t="b">
        <f>T90&lt;=-$R$128</f>
        <v>1</v>
      </c>
      <c r="V90" s="1">
        <v>75</v>
      </c>
      <c r="W90" s="4">
        <f t="shared" si="67"/>
        <v>-11.741935483870961</v>
      </c>
      <c r="X90" s="4">
        <f t="shared" si="88"/>
        <v>-117.58733696805727</v>
      </c>
      <c r="Y90" s="2" t="b">
        <f>X90&lt;=-$V$128</f>
        <v>1</v>
      </c>
      <c r="Z90" s="1">
        <v>75</v>
      </c>
      <c r="AA90" s="4">
        <f t="shared" si="68"/>
        <v>-14.258064516129039</v>
      </c>
      <c r="AB90" s="4">
        <f t="shared" si="89"/>
        <v>-111.39614454720751</v>
      </c>
      <c r="AC90" s="2" t="b">
        <f>AB90&lt;=-$Z$128</f>
        <v>1</v>
      </c>
      <c r="AD90" s="1">
        <v>82</v>
      </c>
      <c r="AE90" s="4">
        <f t="shared" si="69"/>
        <v>-3.5806451612903203</v>
      </c>
      <c r="AF90" s="4">
        <f t="shared" si="90"/>
        <v>-67.376556972372967</v>
      </c>
      <c r="AG90" s="2" t="b">
        <f>AF90&lt;=-$AD$128</f>
        <v>1</v>
      </c>
      <c r="AH90" s="1">
        <v>72</v>
      </c>
      <c r="AI90" s="4">
        <f t="shared" si="70"/>
        <v>-15.838709677419359</v>
      </c>
      <c r="AJ90" s="4">
        <f t="shared" si="91"/>
        <v>-235.3167807967362</v>
      </c>
      <c r="AK90" s="2" t="b">
        <f>AJ90&lt;=-$AH$128</f>
        <v>1</v>
      </c>
      <c r="AL90" s="1">
        <v>86</v>
      </c>
      <c r="AM90" s="4">
        <f t="shared" si="71"/>
        <v>-0.93548387096774377</v>
      </c>
      <c r="AN90" s="4">
        <f t="shared" si="92"/>
        <v>-6.4669129143100186</v>
      </c>
      <c r="AO90" s="2" t="b">
        <f>AN90&lt;=-$AL$128</f>
        <v>0</v>
      </c>
      <c r="AP90" s="1">
        <v>79</v>
      </c>
      <c r="AQ90" s="4">
        <f t="shared" si="72"/>
        <v>-11.193548387096769</v>
      </c>
      <c r="AR90" s="4">
        <f t="shared" si="93"/>
        <v>-194.57649251901353</v>
      </c>
      <c r="AS90" s="2" t="b">
        <f>AR90&lt;=-$AP$128</f>
        <v>1</v>
      </c>
      <c r="AT90" s="1">
        <v>85</v>
      </c>
      <c r="AU90" s="4">
        <f t="shared" si="73"/>
        <v>-1.4193548387096797</v>
      </c>
      <c r="AV90" s="4">
        <f t="shared" si="94"/>
        <v>-35.390570976589643</v>
      </c>
      <c r="AW90" s="2" t="b">
        <f>AV90&lt;=-$AT$128</f>
        <v>1</v>
      </c>
      <c r="AX90" s="1">
        <v>77</v>
      </c>
      <c r="AY90" s="4">
        <f t="shared" si="74"/>
        <v>-12.161290322580641</v>
      </c>
      <c r="AZ90" s="4">
        <f t="shared" si="95"/>
        <v>-207.20620090223591</v>
      </c>
      <c r="BA90" s="2" t="b">
        <f>AZ90&lt;=-$AX$128</f>
        <v>1</v>
      </c>
      <c r="BB90" s="1">
        <v>80</v>
      </c>
      <c r="BC90" s="4">
        <f t="shared" si="75"/>
        <v>-6.6451612903225765</v>
      </c>
      <c r="BD90" s="4">
        <f t="shared" si="96"/>
        <v>-127.56082208114674</v>
      </c>
      <c r="BE90" s="2" t="b">
        <f>BD90&lt;=-$BB$128</f>
        <v>1</v>
      </c>
      <c r="BF90" s="1">
        <v>81</v>
      </c>
      <c r="BG90" s="4">
        <f t="shared" si="76"/>
        <v>-10.258064516129039</v>
      </c>
      <c r="BH90" s="4">
        <f t="shared" si="97"/>
        <v>-21.458479943311097</v>
      </c>
      <c r="BI90" s="8" t="b">
        <f>BH90&lt;=-$BF$128</f>
        <v>1</v>
      </c>
      <c r="BJ90" s="1">
        <v>84</v>
      </c>
      <c r="BK90" s="4">
        <f t="shared" si="77"/>
        <v>-7.9354838709677438</v>
      </c>
      <c r="BL90" s="4">
        <f t="shared" si="98"/>
        <v>-208.77451313415239</v>
      </c>
      <c r="BM90" s="2" t="b">
        <f>BL90&lt;=-$BJ$128</f>
        <v>1</v>
      </c>
      <c r="BN90" s="1">
        <v>88</v>
      </c>
      <c r="BO90" s="4">
        <f t="shared" si="78"/>
        <v>-6.0967741935483843</v>
      </c>
      <c r="BP90" s="4">
        <f t="shared" si="99"/>
        <v>-350.23078953667431</v>
      </c>
      <c r="BQ90" s="2" t="b">
        <f>BP90&lt;=-$BN$128</f>
        <v>1</v>
      </c>
      <c r="BR90" s="1">
        <v>79</v>
      </c>
      <c r="BS90" s="4">
        <f t="shared" si="79"/>
        <v>-5.7096774193548328</v>
      </c>
      <c r="BT90" s="4">
        <f t="shared" si="100"/>
        <v>-51.495883282127814</v>
      </c>
      <c r="BU90" s="2" t="b">
        <f>BT90&lt;=-$BR$128</f>
        <v>1</v>
      </c>
      <c r="BV90" s="1">
        <v>78</v>
      </c>
      <c r="BW90" s="2">
        <f t="shared" si="80"/>
        <v>-8.6129032258064484</v>
      </c>
      <c r="BX90" s="4">
        <f t="shared" si="101"/>
        <v>-52.492542338920344</v>
      </c>
      <c r="BY90" s="2" t="b">
        <f>BX90&lt;=-$BV$128</f>
        <v>1</v>
      </c>
      <c r="BZ90" s="1">
        <v>71</v>
      </c>
      <c r="CA90" s="2">
        <f t="shared" si="81"/>
        <v>-19.064516129032256</v>
      </c>
      <c r="CB90" s="4">
        <f t="shared" si="102"/>
        <v>-220.27098853682315</v>
      </c>
      <c r="CC90" s="2" t="b">
        <f t="shared" si="82"/>
        <v>1</v>
      </c>
    </row>
    <row r="91" spans="1:81" x14ac:dyDescent="0.2">
      <c r="A91" s="3">
        <v>45928</v>
      </c>
      <c r="B91" s="1">
        <v>75</v>
      </c>
      <c r="C91" s="2">
        <f t="shared" si="62"/>
        <v>-16.193548387096769</v>
      </c>
      <c r="D91" s="4">
        <f t="shared" si="83"/>
        <v>-209.01373743722741</v>
      </c>
      <c r="E91" s="2" t="b">
        <f>D91&lt;=-$B$128</f>
        <v>1</v>
      </c>
      <c r="F91" s="1">
        <v>68</v>
      </c>
      <c r="G91" s="4">
        <f t="shared" si="63"/>
        <v>-19.258064516129039</v>
      </c>
      <c r="H91" s="4">
        <f t="shared" si="84"/>
        <v>-95.312141176037159</v>
      </c>
      <c r="I91" s="2" t="b">
        <f>H91&lt;=-$F$128</f>
        <v>1</v>
      </c>
      <c r="J91" s="1">
        <v>80</v>
      </c>
      <c r="K91" s="4">
        <f t="shared" si="64"/>
        <v>-9.7096774193548328</v>
      </c>
      <c r="L91" s="4">
        <f t="shared" si="85"/>
        <v>-154.31283433726969</v>
      </c>
      <c r="M91" s="2" t="b">
        <f>L91&lt;=-$J$128</f>
        <v>1</v>
      </c>
      <c r="N91" s="1">
        <v>80</v>
      </c>
      <c r="O91" s="4">
        <f t="shared" si="65"/>
        <v>-7.6451612903225765</v>
      </c>
      <c r="P91" s="4">
        <f t="shared" si="86"/>
        <v>-85.801266682842368</v>
      </c>
      <c r="Q91" s="2" t="b">
        <f>P91&lt;=-$N$128</f>
        <v>1</v>
      </c>
      <c r="R91" s="1">
        <v>75</v>
      </c>
      <c r="S91" s="4">
        <f t="shared" si="66"/>
        <v>-16.741935483870961</v>
      </c>
      <c r="T91" s="4">
        <f t="shared" si="87"/>
        <v>-289.64743487906458</v>
      </c>
      <c r="U91" s="2" t="b">
        <f>T91&lt;=-$R$128</f>
        <v>1</v>
      </c>
      <c r="V91" s="1">
        <v>78</v>
      </c>
      <c r="W91" s="4">
        <f t="shared" si="67"/>
        <v>-8.7419354838709609</v>
      </c>
      <c r="X91" s="4">
        <f t="shared" si="88"/>
        <v>-125.02563816057526</v>
      </c>
      <c r="Y91" s="2" t="b">
        <f>X91&lt;=-$V$128</f>
        <v>1</v>
      </c>
      <c r="Z91" s="1">
        <v>79</v>
      </c>
      <c r="AA91" s="4">
        <f t="shared" si="68"/>
        <v>-10.258064516129039</v>
      </c>
      <c r="AB91" s="4">
        <f t="shared" si="89"/>
        <v>-119.78352406430774</v>
      </c>
      <c r="AC91" s="2" t="b">
        <f>AB91&lt;=-$Z$128</f>
        <v>1</v>
      </c>
      <c r="AD91" s="1">
        <v>73</v>
      </c>
      <c r="AE91" s="4">
        <f t="shared" si="69"/>
        <v>-12.58064516129032</v>
      </c>
      <c r="AF91" s="4">
        <f t="shared" si="90"/>
        <v>-78.211855016571732</v>
      </c>
      <c r="AG91" s="2" t="b">
        <f>AF91&lt;=-$AD$128</f>
        <v>1</v>
      </c>
      <c r="AH91" s="1">
        <v>78</v>
      </c>
      <c r="AI91" s="4">
        <f t="shared" si="70"/>
        <v>-9.8387096774193594</v>
      </c>
      <c r="AJ91" s="4">
        <f t="shared" si="91"/>
        <v>-243.60577666082557</v>
      </c>
      <c r="AK91" s="2" t="b">
        <f>AJ91&lt;=-$AH$128</f>
        <v>1</v>
      </c>
      <c r="AL91" s="1">
        <v>85</v>
      </c>
      <c r="AM91" s="4">
        <f t="shared" si="71"/>
        <v>-1.9354838709677438</v>
      </c>
      <c r="AN91" s="4">
        <f t="shared" si="92"/>
        <v>-6.2003693714650279</v>
      </c>
      <c r="AO91" s="2" t="b">
        <f>AN91&lt;=-$AL$128</f>
        <v>0</v>
      </c>
      <c r="AP91" s="1">
        <v>81</v>
      </c>
      <c r="AQ91" s="4">
        <f t="shared" si="72"/>
        <v>-9.1935483870967687</v>
      </c>
      <c r="AR91" s="4">
        <f t="shared" si="93"/>
        <v>-201.65100277982631</v>
      </c>
      <c r="AS91" s="2" t="b">
        <f>AR91&lt;=-$AP$128</f>
        <v>1</v>
      </c>
      <c r="AT91" s="1">
        <v>85</v>
      </c>
      <c r="AU91" s="4">
        <f t="shared" si="73"/>
        <v>-1.4193548387096797</v>
      </c>
      <c r="AV91" s="4">
        <f t="shared" si="94"/>
        <v>-35.132754617774616</v>
      </c>
      <c r="AW91" s="2" t="b">
        <f>AV91&lt;=-$AT$128</f>
        <v>1</v>
      </c>
      <c r="AX91" s="1">
        <v>86</v>
      </c>
      <c r="AY91" s="4">
        <f t="shared" si="74"/>
        <v>-3.1612903225806406</v>
      </c>
      <c r="AZ91" s="4">
        <f t="shared" si="95"/>
        <v>-208.9945577826719</v>
      </c>
      <c r="BA91" s="2" t="b">
        <f>AZ91&lt;=-$AX$128</f>
        <v>1</v>
      </c>
      <c r="BB91" s="1">
        <v>83</v>
      </c>
      <c r="BC91" s="4">
        <f t="shared" si="75"/>
        <v>-3.6451612903225765</v>
      </c>
      <c r="BD91" s="4">
        <f t="shared" si="96"/>
        <v>-129.35959777118256</v>
      </c>
      <c r="BE91" s="2" t="b">
        <f>BD91&lt;=-$BB$128</f>
        <v>1</v>
      </c>
      <c r="BF91" s="1">
        <v>76</v>
      </c>
      <c r="BG91" s="4">
        <f t="shared" si="76"/>
        <v>-15.258064516129039</v>
      </c>
      <c r="BH91" s="4">
        <f t="shared" si="97"/>
        <v>-34.68771991496665</v>
      </c>
      <c r="BI91" s="2" t="b">
        <f>BH91&lt;=-$BF$128</f>
        <v>1</v>
      </c>
      <c r="BJ91" s="1">
        <v>79</v>
      </c>
      <c r="BK91" s="4">
        <f t="shared" si="77"/>
        <v>-12.935483870967744</v>
      </c>
      <c r="BL91" s="4">
        <f t="shared" si="98"/>
        <v>-219.97345118140873</v>
      </c>
      <c r="BM91" s="2" t="b">
        <f>BL91&lt;=-$BJ$128</f>
        <v>1</v>
      </c>
      <c r="BN91" s="1">
        <v>86</v>
      </c>
      <c r="BO91" s="4">
        <f t="shared" si="78"/>
        <v>-8.0967741935483843</v>
      </c>
      <c r="BP91" s="4">
        <f t="shared" si="99"/>
        <v>-356.03498571006838</v>
      </c>
      <c r="BQ91" s="2" t="b">
        <f>BP91&lt;=-$BN$128</f>
        <v>1</v>
      </c>
      <c r="BR91" s="1">
        <v>77</v>
      </c>
      <c r="BS91" s="4">
        <f t="shared" si="79"/>
        <v>-7.7096774193548328</v>
      </c>
      <c r="BT91" s="4">
        <f t="shared" si="100"/>
        <v>-57.268236307775794</v>
      </c>
      <c r="BU91" s="2" t="b">
        <f>BT91&lt;=-$BR$128</f>
        <v>1</v>
      </c>
      <c r="BV91" s="1">
        <v>74</v>
      </c>
      <c r="BW91" s="2">
        <f t="shared" si="80"/>
        <v>-12.612903225806448</v>
      </c>
      <c r="BX91" s="4">
        <f t="shared" si="101"/>
        <v>-63.313438220271799</v>
      </c>
      <c r="BY91" s="2" t="b">
        <f>BX91&lt;=-$BV$128</f>
        <v>1</v>
      </c>
      <c r="BZ91" s="1">
        <v>75</v>
      </c>
      <c r="CA91" s="2">
        <f t="shared" si="81"/>
        <v>-15.064516129032256</v>
      </c>
      <c r="CB91" s="4">
        <f t="shared" si="102"/>
        <v>-233.55629377395712</v>
      </c>
      <c r="CC91" s="2" t="b">
        <f t="shared" si="82"/>
        <v>1</v>
      </c>
    </row>
    <row r="92" spans="1:81" x14ac:dyDescent="0.2">
      <c r="A92" s="3">
        <v>45929</v>
      </c>
      <c r="B92" s="1">
        <v>72</v>
      </c>
      <c r="C92" s="2">
        <f t="shared" si="62"/>
        <v>-19.193548387096769</v>
      </c>
      <c r="D92" s="4">
        <f t="shared" si="83"/>
        <v>-225.75636982263995</v>
      </c>
      <c r="E92" s="2" t="b">
        <f>D92&lt;=-$B$128</f>
        <v>1</v>
      </c>
      <c r="F92" s="1">
        <v>77</v>
      </c>
      <c r="G92" s="4">
        <f t="shared" si="63"/>
        <v>-10.258064516129039</v>
      </c>
      <c r="H92" s="4">
        <f t="shared" si="84"/>
        <v>-103.3567327726139</v>
      </c>
      <c r="I92" s="2" t="b">
        <f>H92&lt;=-$F$128</f>
        <v>1</v>
      </c>
      <c r="J92" s="1">
        <v>75</v>
      </c>
      <c r="K92" s="4">
        <f t="shared" si="64"/>
        <v>-14.709677419354833</v>
      </c>
      <c r="L92" s="4">
        <f t="shared" si="85"/>
        <v>-167.4993924332889</v>
      </c>
      <c r="M92" s="2" t="b">
        <f>L92&lt;=-$J$128</f>
        <v>1</v>
      </c>
      <c r="N92" s="1">
        <v>77</v>
      </c>
      <c r="O92" s="4">
        <f t="shared" si="65"/>
        <v>-10.645161290322577</v>
      </c>
      <c r="P92" s="4">
        <f t="shared" si="86"/>
        <v>-93.555210273830241</v>
      </c>
      <c r="Q92" s="2" t="b">
        <f>P92&lt;=-$N$128</f>
        <v>1</v>
      </c>
      <c r="R92" s="1">
        <v>73</v>
      </c>
      <c r="S92" s="4">
        <f t="shared" si="66"/>
        <v>-18.741935483870961</v>
      </c>
      <c r="T92" s="4">
        <f t="shared" si="87"/>
        <v>-305.63568270836674</v>
      </c>
      <c r="U92" s="2" t="b">
        <f>T92&lt;=-$R$128</f>
        <v>1</v>
      </c>
      <c r="V92" s="1">
        <v>71</v>
      </c>
      <c r="W92" s="4">
        <f t="shared" si="67"/>
        <v>-15.741935483870961</v>
      </c>
      <c r="X92" s="4">
        <f t="shared" si="88"/>
        <v>-139.46393935309322</v>
      </c>
      <c r="Y92" s="2" t="b">
        <f>X92&lt;=-$V$128</f>
        <v>1</v>
      </c>
      <c r="Z92" s="1">
        <v>73</v>
      </c>
      <c r="AA92" s="4">
        <f t="shared" si="68"/>
        <v>-16.258064516129039</v>
      </c>
      <c r="AB92" s="4">
        <f t="shared" si="89"/>
        <v>-134.17090358140797</v>
      </c>
      <c r="AC92" s="2" t="b">
        <f>AB92&lt;=-$Z$128</f>
        <v>1</v>
      </c>
      <c r="AD92" s="1">
        <v>66</v>
      </c>
      <c r="AE92" s="4">
        <f t="shared" si="69"/>
        <v>-19.58064516129032</v>
      </c>
      <c r="AF92" s="4">
        <f t="shared" si="90"/>
        <v>-96.047153060770498</v>
      </c>
      <c r="AG92" s="2" t="b">
        <f>AF92&lt;=-$AD$128</f>
        <v>1</v>
      </c>
      <c r="AH92" s="1">
        <v>78</v>
      </c>
      <c r="AI92" s="4">
        <f t="shared" si="70"/>
        <v>-9.8387096774193594</v>
      </c>
      <c r="AJ92" s="4">
        <f t="shared" si="91"/>
        <v>-251.89477252491494</v>
      </c>
      <c r="AK92" s="2" t="b">
        <f>AJ92&lt;=-$AH$128</f>
        <v>1</v>
      </c>
      <c r="AL92" s="1">
        <v>85</v>
      </c>
      <c r="AM92" s="4">
        <f t="shared" si="71"/>
        <v>-1.9354838709677438</v>
      </c>
      <c r="AN92" s="4">
        <f t="shared" si="92"/>
        <v>-5.9338258286200372</v>
      </c>
      <c r="AO92" s="2" t="b">
        <f>AN92&lt;=-$AL$128</f>
        <v>0</v>
      </c>
      <c r="AP92" s="1">
        <v>70</v>
      </c>
      <c r="AQ92" s="4">
        <f t="shared" si="72"/>
        <v>-20.193548387096769</v>
      </c>
      <c r="AR92" s="4">
        <f t="shared" si="93"/>
        <v>-219.7255130406391</v>
      </c>
      <c r="AS92" s="2" t="b">
        <f>AR92&lt;=-$AP$128</f>
        <v>1</v>
      </c>
      <c r="AT92" s="1">
        <v>81</v>
      </c>
      <c r="AU92" s="4">
        <f t="shared" si="73"/>
        <v>-5.4193548387096797</v>
      </c>
      <c r="AV92" s="4">
        <f t="shared" si="94"/>
        <v>-38.874938258959588</v>
      </c>
      <c r="AW92" s="2" t="b">
        <f>AV92&lt;=-$AT$128</f>
        <v>1</v>
      </c>
      <c r="AX92" s="1">
        <v>86</v>
      </c>
      <c r="AY92" s="4">
        <f t="shared" si="74"/>
        <v>-3.1612903225806406</v>
      </c>
      <c r="AZ92" s="4">
        <f t="shared" si="95"/>
        <v>-210.7829146631079</v>
      </c>
      <c r="BA92" s="2" t="b">
        <f>AZ92&lt;=-$AX$128</f>
        <v>1</v>
      </c>
      <c r="BB92" s="1">
        <v>72</v>
      </c>
      <c r="BC92" s="4">
        <f t="shared" si="75"/>
        <v>-14.645161290322577</v>
      </c>
      <c r="BD92" s="4">
        <f t="shared" si="96"/>
        <v>-142.15837346121839</v>
      </c>
      <c r="BE92" s="2" t="b">
        <f>BD92&lt;=-$BB$128</f>
        <v>1</v>
      </c>
      <c r="BF92" s="1">
        <v>79</v>
      </c>
      <c r="BG92" s="4">
        <f t="shared" si="76"/>
        <v>-12.258064516129039</v>
      </c>
      <c r="BH92" s="4">
        <f t="shared" si="97"/>
        <v>-44.916959886622202</v>
      </c>
      <c r="BI92" s="2" t="b">
        <f>BH92&lt;=-$BF$128</f>
        <v>1</v>
      </c>
      <c r="BJ92" s="1">
        <v>84</v>
      </c>
      <c r="BK92" s="4">
        <f t="shared" si="77"/>
        <v>-7.9354838709677438</v>
      </c>
      <c r="BL92" s="4">
        <f t="shared" si="98"/>
        <v>-226.17238922866508</v>
      </c>
      <c r="BM92" s="2" t="b">
        <f>BL92&lt;=-$BJ$128</f>
        <v>1</v>
      </c>
      <c r="BN92" s="1">
        <v>84</v>
      </c>
      <c r="BO92" s="4">
        <f t="shared" si="78"/>
        <v>-10.096774193548384</v>
      </c>
      <c r="BP92" s="4">
        <f t="shared" si="99"/>
        <v>-363.83918188346246</v>
      </c>
      <c r="BQ92" s="2" t="b">
        <f>BP92&lt;=-$BN$128</f>
        <v>1</v>
      </c>
      <c r="BR92" s="1">
        <v>76</v>
      </c>
      <c r="BS92" s="4">
        <f t="shared" si="79"/>
        <v>-8.7096774193548328</v>
      </c>
      <c r="BT92" s="4">
        <f t="shared" si="100"/>
        <v>-64.040589333423782</v>
      </c>
      <c r="BU92" s="2" t="b">
        <f>BT92&lt;=-$BR$128</f>
        <v>1</v>
      </c>
      <c r="BV92" s="1">
        <v>71</v>
      </c>
      <c r="BW92" s="2">
        <f t="shared" si="80"/>
        <v>-15.612903225806448</v>
      </c>
      <c r="BX92" s="4">
        <f t="shared" si="101"/>
        <v>-77.134334101623253</v>
      </c>
      <c r="BY92" s="2" t="b">
        <f>BX92&lt;=-$BV$128</f>
        <v>1</v>
      </c>
      <c r="BZ92" s="1">
        <v>77</v>
      </c>
      <c r="CA92" s="2">
        <f t="shared" si="81"/>
        <v>-13.064516129032256</v>
      </c>
      <c r="CB92" s="4">
        <f t="shared" si="102"/>
        <v>-244.84159901109109</v>
      </c>
      <c r="CC92" s="2" t="b">
        <f t="shared" si="82"/>
        <v>1</v>
      </c>
    </row>
    <row r="93" spans="1:81" x14ac:dyDescent="0.2">
      <c r="A93" s="3">
        <v>45930</v>
      </c>
      <c r="B93" s="1">
        <v>64</v>
      </c>
      <c r="C93" s="2">
        <f t="shared" si="62"/>
        <v>-27.193548387096769</v>
      </c>
      <c r="D93" s="4">
        <f t="shared" si="83"/>
        <v>-250.4990022080525</v>
      </c>
      <c r="E93" s="2" t="b">
        <f>D93&lt;=-$B$128</f>
        <v>1</v>
      </c>
      <c r="F93" s="1">
        <v>86</v>
      </c>
      <c r="G93" s="4">
        <f t="shared" si="63"/>
        <v>-1.2580645161290391</v>
      </c>
      <c r="H93" s="4">
        <f t="shared" si="84"/>
        <v>-102.40132436919063</v>
      </c>
      <c r="I93" s="2" t="b">
        <f>H93&lt;=-$F$128</f>
        <v>1</v>
      </c>
      <c r="J93" s="1">
        <v>75</v>
      </c>
      <c r="K93" s="4">
        <f t="shared" si="64"/>
        <v>-14.709677419354833</v>
      </c>
      <c r="L93" s="4">
        <f t="shared" si="85"/>
        <v>-180.68595052930812</v>
      </c>
      <c r="M93" s="2" t="b">
        <f>L93&lt;=-$J$128</f>
        <v>1</v>
      </c>
      <c r="N93" s="1">
        <v>71</v>
      </c>
      <c r="O93" s="4">
        <f t="shared" si="65"/>
        <v>-16.645161290322577</v>
      </c>
      <c r="P93" s="4">
        <f t="shared" si="86"/>
        <v>-107.30915386481811</v>
      </c>
      <c r="Q93" s="2" t="b">
        <f>P93&lt;=-$N$128</f>
        <v>1</v>
      </c>
      <c r="R93" s="1">
        <v>75</v>
      </c>
      <c r="S93" s="4">
        <f t="shared" si="66"/>
        <v>-16.741935483870961</v>
      </c>
      <c r="T93" s="4">
        <f t="shared" si="87"/>
        <v>-319.62393053766891</v>
      </c>
      <c r="U93" s="2" t="b">
        <f>T93&lt;=-$R$128</f>
        <v>1</v>
      </c>
      <c r="V93" s="1">
        <v>71</v>
      </c>
      <c r="W93" s="4">
        <f t="shared" si="67"/>
        <v>-15.741935483870961</v>
      </c>
      <c r="X93" s="4">
        <f t="shared" si="88"/>
        <v>-153.90224054561122</v>
      </c>
      <c r="Y93" s="2" t="b">
        <f>X93&lt;=-$V$128</f>
        <v>1</v>
      </c>
      <c r="Z93" s="1">
        <v>79</v>
      </c>
      <c r="AA93" s="4">
        <f t="shared" si="68"/>
        <v>-10.258064516129039</v>
      </c>
      <c r="AB93" s="4">
        <f t="shared" si="89"/>
        <v>-142.55828309850818</v>
      </c>
      <c r="AC93" s="2" t="b">
        <f>AB93&lt;=-$Z$128</f>
        <v>1</v>
      </c>
      <c r="AD93" s="1">
        <v>71</v>
      </c>
      <c r="AE93" s="4">
        <f t="shared" si="69"/>
        <v>-14.58064516129032</v>
      </c>
      <c r="AF93" s="4">
        <f t="shared" si="90"/>
        <v>-108.88245110496926</v>
      </c>
      <c r="AG93" s="2" t="b">
        <f>AF93&lt;=-$AD$128</f>
        <v>1</v>
      </c>
      <c r="AH93" s="1">
        <v>80</v>
      </c>
      <c r="AI93" s="4">
        <f t="shared" si="70"/>
        <v>-7.8387096774193594</v>
      </c>
      <c r="AJ93" s="4">
        <f t="shared" si="91"/>
        <v>-258.18376838900429</v>
      </c>
      <c r="AK93" s="2" t="b">
        <f>AJ93&lt;=-$AH$128</f>
        <v>1</v>
      </c>
      <c r="AL93" s="1">
        <v>82</v>
      </c>
      <c r="AM93" s="4">
        <f t="shared" si="71"/>
        <v>-4.9354838709677438</v>
      </c>
      <c r="AN93" s="4">
        <f t="shared" si="92"/>
        <v>-8.6672822857750464</v>
      </c>
      <c r="AO93" s="2" t="b">
        <f>AN93&lt;=-$AL$128</f>
        <v>0</v>
      </c>
      <c r="AP93" s="1">
        <v>75</v>
      </c>
      <c r="AQ93" s="4">
        <f t="shared" si="72"/>
        <v>-15.193548387096769</v>
      </c>
      <c r="AR93" s="4">
        <f t="shared" si="93"/>
        <v>-232.80002330145189</v>
      </c>
      <c r="AS93" s="2" t="b">
        <f>AR93&lt;=-$AP$128</f>
        <v>1</v>
      </c>
      <c r="AT93" s="1">
        <v>79</v>
      </c>
      <c r="AU93" s="4">
        <f t="shared" si="73"/>
        <v>-7.4193548387096797</v>
      </c>
      <c r="AV93" s="4">
        <f t="shared" si="94"/>
        <v>-44.617121900144561</v>
      </c>
      <c r="AW93" s="2" t="b">
        <f>AV93&lt;=-$AT$128</f>
        <v>1</v>
      </c>
      <c r="AX93" s="1">
        <v>86</v>
      </c>
      <c r="AY93" s="4">
        <f t="shared" si="74"/>
        <v>-3.1612903225806406</v>
      </c>
      <c r="AZ93" s="4">
        <f t="shared" si="95"/>
        <v>-212.5712715435439</v>
      </c>
      <c r="BA93" s="2" t="b">
        <f>AZ93&lt;=-$AX$128</f>
        <v>1</v>
      </c>
      <c r="BB93" s="1">
        <v>74</v>
      </c>
      <c r="BC93" s="4">
        <f t="shared" si="75"/>
        <v>-12.645161290322577</v>
      </c>
      <c r="BD93" s="4">
        <f t="shared" si="96"/>
        <v>-152.95714915125421</v>
      </c>
      <c r="BE93" s="2" t="b">
        <f>BD93&lt;=-$BB$128</f>
        <v>1</v>
      </c>
      <c r="BF93" s="1">
        <v>76</v>
      </c>
      <c r="BG93" s="4">
        <f t="shared" si="76"/>
        <v>-15.258064516129039</v>
      </c>
      <c r="BH93" s="4">
        <f t="shared" si="97"/>
        <v>-58.146199858277754</v>
      </c>
      <c r="BI93" s="2" t="b">
        <f>BH93&lt;=-$BF$128</f>
        <v>1</v>
      </c>
      <c r="BJ93" s="1">
        <v>78</v>
      </c>
      <c r="BK93" s="4">
        <f t="shared" si="77"/>
        <v>-13.935483870967744</v>
      </c>
      <c r="BL93" s="4">
        <f t="shared" si="98"/>
        <v>-238.37132727592143</v>
      </c>
      <c r="BM93" s="2" t="b">
        <f>BL93&lt;=-$BJ$128</f>
        <v>1</v>
      </c>
      <c r="BN93" s="1">
        <v>72</v>
      </c>
      <c r="BO93" s="4">
        <f t="shared" si="78"/>
        <v>-22.096774193548384</v>
      </c>
      <c r="BP93" s="4">
        <f t="shared" si="99"/>
        <v>-383.64337805685653</v>
      </c>
      <c r="BQ93" s="2" t="b">
        <f>BP93&lt;=-$BN$128</f>
        <v>1</v>
      </c>
      <c r="BR93" s="1">
        <v>77</v>
      </c>
      <c r="BS93" s="4">
        <f t="shared" si="79"/>
        <v>-7.7096774193548328</v>
      </c>
      <c r="BT93" s="4">
        <f t="shared" si="100"/>
        <v>-69.812942359071769</v>
      </c>
      <c r="BU93" s="2" t="b">
        <f>BT93&lt;=-$BR$128</f>
        <v>1</v>
      </c>
      <c r="BV93" s="1">
        <v>84</v>
      </c>
      <c r="BW93" s="2">
        <f t="shared" si="80"/>
        <v>-2.6129032258064484</v>
      </c>
      <c r="BX93" s="4">
        <f t="shared" si="101"/>
        <v>-77.9552299829747</v>
      </c>
      <c r="BY93" s="2" t="b">
        <f>BX93&lt;=-$BV$128</f>
        <v>1</v>
      </c>
      <c r="BZ93" s="1">
        <v>85</v>
      </c>
      <c r="CA93" s="2">
        <f t="shared" si="81"/>
        <v>-5.0645161290322562</v>
      </c>
      <c r="CB93" s="4">
        <f t="shared" si="102"/>
        <v>-248.12690424822506</v>
      </c>
      <c r="CC93" s="2" t="b">
        <f t="shared" si="82"/>
        <v>1</v>
      </c>
    </row>
    <row r="94" spans="1:81" x14ac:dyDescent="0.2">
      <c r="A94" s="3">
        <v>45931</v>
      </c>
      <c r="B94" s="1">
        <v>66</v>
      </c>
      <c r="C94" s="2">
        <f t="shared" si="62"/>
        <v>-25.193548387096769</v>
      </c>
      <c r="D94" s="4">
        <f t="shared" si="83"/>
        <v>-273.24163459346505</v>
      </c>
      <c r="E94" s="2" t="b">
        <f>D94&lt;=-$B$128</f>
        <v>1</v>
      </c>
      <c r="F94" s="1">
        <v>75</v>
      </c>
      <c r="G94" s="4">
        <f t="shared" si="63"/>
        <v>-12.258064516129039</v>
      </c>
      <c r="H94" s="4">
        <f t="shared" si="84"/>
        <v>-112.44591596576737</v>
      </c>
      <c r="I94" s="2" t="b">
        <f>H94&lt;=-$F$128</f>
        <v>1</v>
      </c>
      <c r="J94" s="1">
        <v>86</v>
      </c>
      <c r="K94" s="4">
        <f t="shared" si="64"/>
        <v>-3.7096774193548328</v>
      </c>
      <c r="L94" s="4">
        <f t="shared" si="85"/>
        <v>-182.87250862532733</v>
      </c>
      <c r="M94" s="2" t="b">
        <f>L94&lt;=-$J$128</f>
        <v>1</v>
      </c>
      <c r="N94" s="1">
        <v>73</v>
      </c>
      <c r="O94" s="4">
        <f t="shared" si="65"/>
        <v>-14.645161290322577</v>
      </c>
      <c r="P94" s="4">
        <f t="shared" si="86"/>
        <v>-119.06309745580599</v>
      </c>
      <c r="Q94" s="2" t="b">
        <f>P94&lt;=-$N$128</f>
        <v>1</v>
      </c>
      <c r="R94" s="1">
        <v>77</v>
      </c>
      <c r="S94" s="4">
        <f t="shared" si="66"/>
        <v>-14.741935483870961</v>
      </c>
      <c r="T94" s="4">
        <f t="shared" si="87"/>
        <v>-331.61217836697108</v>
      </c>
      <c r="U94" s="2" t="b">
        <f>T94&lt;=-$R$128</f>
        <v>1</v>
      </c>
      <c r="V94" s="1">
        <v>75</v>
      </c>
      <c r="W94" s="4">
        <f t="shared" si="67"/>
        <v>-11.741935483870961</v>
      </c>
      <c r="X94" s="4">
        <f t="shared" si="88"/>
        <v>-164.34054173812922</v>
      </c>
      <c r="Y94" s="2" t="b">
        <f>X94&lt;=-$V$128</f>
        <v>1</v>
      </c>
      <c r="Z94" s="1">
        <v>82</v>
      </c>
      <c r="AA94" s="4">
        <f t="shared" si="68"/>
        <v>-7.2580645161290391</v>
      </c>
      <c r="AB94" s="4">
        <f t="shared" si="89"/>
        <v>-147.9456626156084</v>
      </c>
      <c r="AC94" s="2" t="b">
        <f>AB94&lt;=-$Z$128</f>
        <v>1</v>
      </c>
      <c r="AD94" s="1">
        <v>72</v>
      </c>
      <c r="AE94" s="4">
        <f t="shared" si="69"/>
        <v>-13.58064516129032</v>
      </c>
      <c r="AF94" s="4">
        <f t="shared" si="90"/>
        <v>-120.71774914916803</v>
      </c>
      <c r="AG94" s="2" t="b">
        <f>AF94&lt;=-$AD$128</f>
        <v>1</v>
      </c>
      <c r="AH94" s="1">
        <v>82</v>
      </c>
      <c r="AI94" s="4">
        <f t="shared" si="70"/>
        <v>-5.8387096774193594</v>
      </c>
      <c r="AJ94" s="4">
        <f t="shared" si="91"/>
        <v>-262.47276425309366</v>
      </c>
      <c r="AK94" s="2" t="b">
        <f>AJ94&lt;=-$AH$128</f>
        <v>1</v>
      </c>
      <c r="AL94" s="1">
        <v>83</v>
      </c>
      <c r="AM94" s="4">
        <f t="shared" si="71"/>
        <v>-3.9354838709677438</v>
      </c>
      <c r="AN94" s="4">
        <f t="shared" si="92"/>
        <v>-10.400738742930056</v>
      </c>
      <c r="AO94" s="2" t="b">
        <f>AN94&lt;=-$AL$128</f>
        <v>0</v>
      </c>
      <c r="AP94" s="1">
        <v>83</v>
      </c>
      <c r="AQ94" s="4">
        <f t="shared" si="72"/>
        <v>-7.1935483870967687</v>
      </c>
      <c r="AR94" s="4">
        <f t="shared" si="93"/>
        <v>-237.87453356226467</v>
      </c>
      <c r="AS94" s="2" t="b">
        <f>AR94&lt;=-$AP$128</f>
        <v>1</v>
      </c>
      <c r="AT94" s="1">
        <v>80</v>
      </c>
      <c r="AU94" s="4">
        <f t="shared" si="73"/>
        <v>-6.4193548387096797</v>
      </c>
      <c r="AV94" s="4">
        <f t="shared" si="94"/>
        <v>-49.359305541329533</v>
      </c>
      <c r="AW94" s="2" t="b">
        <f>AV94&lt;=-$AT$128</f>
        <v>1</v>
      </c>
      <c r="AX94" s="1">
        <v>74</v>
      </c>
      <c r="AY94" s="4">
        <f t="shared" si="74"/>
        <v>-15.161290322580641</v>
      </c>
      <c r="AZ94" s="4">
        <f t="shared" si="95"/>
        <v>-226.3596284239799</v>
      </c>
      <c r="BA94" s="2" t="b">
        <f>AZ94&lt;=-$AX$128</f>
        <v>1</v>
      </c>
      <c r="BB94" s="1">
        <v>76</v>
      </c>
      <c r="BC94" s="4">
        <f t="shared" si="75"/>
        <v>-10.645161290322577</v>
      </c>
      <c r="BD94" s="4">
        <f t="shared" si="96"/>
        <v>-161.75592484129004</v>
      </c>
      <c r="BE94" s="2" t="b">
        <f>BD94&lt;=-$BB$128</f>
        <v>1</v>
      </c>
      <c r="BF94" s="1">
        <v>79</v>
      </c>
      <c r="BG94" s="4">
        <f t="shared" si="76"/>
        <v>-12.258064516129039</v>
      </c>
      <c r="BH94" s="4">
        <f t="shared" si="97"/>
        <v>-68.375439829933299</v>
      </c>
      <c r="BI94" s="2" t="b">
        <f>BH94&lt;=-$BF$128</f>
        <v>1</v>
      </c>
      <c r="BJ94" s="1">
        <v>65</v>
      </c>
      <c r="BK94" s="4">
        <f t="shared" si="77"/>
        <v>-26.935483870967744</v>
      </c>
      <c r="BL94" s="4">
        <f t="shared" si="98"/>
        <v>-263.57026532317781</v>
      </c>
      <c r="BM94" s="2" t="b">
        <f>BL94&lt;=-$BJ$128</f>
        <v>1</v>
      </c>
      <c r="BN94" s="1">
        <v>75</v>
      </c>
      <c r="BO94" s="4">
        <f t="shared" si="78"/>
        <v>-19.096774193548384</v>
      </c>
      <c r="BP94" s="4">
        <f t="shared" si="99"/>
        <v>-400.44757423025061</v>
      </c>
      <c r="BQ94" s="2" t="b">
        <f>BP94&lt;=-$BN$128</f>
        <v>1</v>
      </c>
      <c r="BR94" s="1">
        <v>82</v>
      </c>
      <c r="BS94" s="4">
        <f t="shared" si="79"/>
        <v>-2.7096774193548328</v>
      </c>
      <c r="BT94" s="4">
        <f t="shared" si="100"/>
        <v>-70.585295384719757</v>
      </c>
      <c r="BU94" s="2" t="b">
        <f>BT94&lt;=-$BR$128</f>
        <v>1</v>
      </c>
      <c r="BV94" s="1">
        <v>86</v>
      </c>
      <c r="BW94" s="2">
        <f t="shared" si="80"/>
        <v>-0.6129032258064484</v>
      </c>
      <c r="BX94" s="4">
        <f t="shared" si="101"/>
        <v>-76.776125864326147</v>
      </c>
      <c r="BY94" s="2" t="b">
        <f>BX94&lt;=-$BV$128</f>
        <v>1</v>
      </c>
      <c r="BZ94" s="1">
        <v>71</v>
      </c>
      <c r="CA94" s="2">
        <f t="shared" si="81"/>
        <v>-19.064516129032256</v>
      </c>
      <c r="CB94" s="4">
        <f t="shared" si="102"/>
        <v>-265.41220948535903</v>
      </c>
      <c r="CC94" s="2" t="b">
        <f t="shared" si="82"/>
        <v>1</v>
      </c>
    </row>
    <row r="95" spans="1:81" x14ac:dyDescent="0.2">
      <c r="A95" s="3">
        <v>45932</v>
      </c>
      <c r="B95" s="1">
        <v>72</v>
      </c>
      <c r="C95" s="2">
        <f t="shared" si="62"/>
        <v>-19.193548387096769</v>
      </c>
      <c r="D95" s="4">
        <f t="shared" si="83"/>
        <v>-289.9842669788776</v>
      </c>
      <c r="E95" s="2" t="b">
        <f>D95&lt;=-$B$128</f>
        <v>1</v>
      </c>
      <c r="F95" s="1">
        <v>73</v>
      </c>
      <c r="G95" s="4">
        <f t="shared" si="63"/>
        <v>-14.258064516129039</v>
      </c>
      <c r="H95" s="4">
        <f t="shared" si="84"/>
        <v>-124.49050756234411</v>
      </c>
      <c r="I95" s="2" t="b">
        <f>H95&lt;=-$F$128</f>
        <v>1</v>
      </c>
      <c r="J95" s="1">
        <v>78</v>
      </c>
      <c r="K95" s="4">
        <f t="shared" si="64"/>
        <v>-11.709677419354833</v>
      </c>
      <c r="L95" s="4">
        <f t="shared" si="85"/>
        <v>-193.05906672134654</v>
      </c>
      <c r="M95" s="2" t="b">
        <f>L95&lt;=-$J$128</f>
        <v>1</v>
      </c>
      <c r="N95" s="1">
        <v>75</v>
      </c>
      <c r="O95" s="4">
        <f t="shared" si="65"/>
        <v>-12.645161290322577</v>
      </c>
      <c r="P95" s="4">
        <f t="shared" si="86"/>
        <v>-128.81704104679386</v>
      </c>
      <c r="Q95" s="2" t="b">
        <f>P95&lt;=-$N$128</f>
        <v>1</v>
      </c>
      <c r="R95" s="1">
        <v>79</v>
      </c>
      <c r="S95" s="4">
        <f t="shared" si="66"/>
        <v>-12.741935483870961</v>
      </c>
      <c r="T95" s="4">
        <f t="shared" si="87"/>
        <v>-341.60042619627325</v>
      </c>
      <c r="U95" s="2" t="b">
        <f>T95&lt;=-$R$128</f>
        <v>1</v>
      </c>
      <c r="V95" s="1">
        <v>80</v>
      </c>
      <c r="W95" s="4">
        <f t="shared" si="67"/>
        <v>-6.7419354838709609</v>
      </c>
      <c r="X95" s="4">
        <f t="shared" si="88"/>
        <v>-169.77884293064722</v>
      </c>
      <c r="Y95" s="2" t="b">
        <f>X95&lt;=-$V$128</f>
        <v>1</v>
      </c>
      <c r="Z95" s="1">
        <v>84</v>
      </c>
      <c r="AA95" s="4">
        <f t="shared" si="68"/>
        <v>-5.2580645161290391</v>
      </c>
      <c r="AB95" s="4">
        <f t="shared" si="89"/>
        <v>-151.33304213270861</v>
      </c>
      <c r="AC95" s="2" t="b">
        <f>AB95&lt;=-$Z$128</f>
        <v>1</v>
      </c>
      <c r="AD95" s="1">
        <v>68</v>
      </c>
      <c r="AE95" s="4">
        <f t="shared" si="69"/>
        <v>-17.58064516129032</v>
      </c>
      <c r="AF95" s="4">
        <f t="shared" si="90"/>
        <v>-136.55304719336681</v>
      </c>
      <c r="AG95" s="2" t="b">
        <f>AF95&lt;=-$AD$128</f>
        <v>1</v>
      </c>
      <c r="AH95" s="1">
        <v>82</v>
      </c>
      <c r="AI95" s="4">
        <f t="shared" si="70"/>
        <v>-5.8387096774193594</v>
      </c>
      <c r="AJ95" s="4">
        <f t="shared" si="91"/>
        <v>-266.76176011718297</v>
      </c>
      <c r="AK95" s="2" t="b">
        <f>AJ95&lt;=-$AH$128</f>
        <v>1</v>
      </c>
      <c r="AL95" s="1">
        <v>85</v>
      </c>
      <c r="AM95" s="4">
        <f t="shared" si="71"/>
        <v>-1.9354838709677438</v>
      </c>
      <c r="AN95" s="4">
        <f t="shared" si="92"/>
        <v>-10.134195200085065</v>
      </c>
      <c r="AO95" s="2" t="b">
        <f>AN95&lt;=-$AL$128</f>
        <v>0</v>
      </c>
      <c r="AP95" s="1">
        <v>81</v>
      </c>
      <c r="AQ95" s="4">
        <f t="shared" si="72"/>
        <v>-9.1935483870967687</v>
      </c>
      <c r="AR95" s="4">
        <f t="shared" si="93"/>
        <v>-244.94904382307746</v>
      </c>
      <c r="AS95" s="2" t="b">
        <f>AR95&lt;=-$AP$128</f>
        <v>1</v>
      </c>
      <c r="AT95" s="1">
        <v>82</v>
      </c>
      <c r="AU95" s="4">
        <f t="shared" si="73"/>
        <v>-4.4193548387096797</v>
      </c>
      <c r="AV95" s="4">
        <f t="shared" si="94"/>
        <v>-52.101489182514506</v>
      </c>
      <c r="AW95" s="2" t="b">
        <f>AV95&lt;=-$AT$128</f>
        <v>1</v>
      </c>
      <c r="AX95" s="1">
        <v>74</v>
      </c>
      <c r="AY95" s="4">
        <f t="shared" si="74"/>
        <v>-15.161290322580641</v>
      </c>
      <c r="AZ95" s="4">
        <f t="shared" si="95"/>
        <v>-240.1479853044159</v>
      </c>
      <c r="BA95" s="2" t="b">
        <f>AZ95&lt;=-$AX$128</f>
        <v>1</v>
      </c>
      <c r="BB95" s="1">
        <v>75</v>
      </c>
      <c r="BC95" s="4">
        <f t="shared" si="75"/>
        <v>-11.645161290322577</v>
      </c>
      <c r="BD95" s="4">
        <f t="shared" si="96"/>
        <v>-171.55470053132586</v>
      </c>
      <c r="BE95" s="2" t="b">
        <f>BD95&lt;=-$BB$128</f>
        <v>1</v>
      </c>
      <c r="BF95" s="1">
        <v>78</v>
      </c>
      <c r="BG95" s="4">
        <f t="shared" si="76"/>
        <v>-13.258064516129039</v>
      </c>
      <c r="BH95" s="4">
        <f t="shared" si="97"/>
        <v>-79.604679801588844</v>
      </c>
      <c r="BI95" s="2" t="b">
        <f>BH95&lt;=-$BF$128</f>
        <v>1</v>
      </c>
      <c r="BJ95" s="1">
        <v>68</v>
      </c>
      <c r="BK95" s="4">
        <f t="shared" si="77"/>
        <v>-23.935483870967744</v>
      </c>
      <c r="BL95" s="4">
        <f t="shared" si="98"/>
        <v>-285.76920337043418</v>
      </c>
      <c r="BM95" s="2" t="b">
        <f>BL95&lt;=-$BJ$128</f>
        <v>1</v>
      </c>
      <c r="BN95" s="1">
        <v>72</v>
      </c>
      <c r="BO95" s="4">
        <f t="shared" si="78"/>
        <v>-22.096774193548384</v>
      </c>
      <c r="BP95" s="4">
        <f t="shared" si="99"/>
        <v>-420.25177040364468</v>
      </c>
      <c r="BQ95" s="2" t="b">
        <f>BP95&lt;=-$BN$128</f>
        <v>1</v>
      </c>
      <c r="BR95" s="1">
        <v>82</v>
      </c>
      <c r="BS95" s="4">
        <f t="shared" si="79"/>
        <v>-2.7096774193548328</v>
      </c>
      <c r="BT95" s="4">
        <f t="shared" si="100"/>
        <v>-71.357648410367744</v>
      </c>
      <c r="BU95" s="2" t="b">
        <f>BT95&lt;=-$BR$128</f>
        <v>1</v>
      </c>
      <c r="BV95" s="1">
        <v>85</v>
      </c>
      <c r="BW95" s="2">
        <f t="shared" si="80"/>
        <v>-1.6129032258064484</v>
      </c>
      <c r="BX95" s="4">
        <f t="shared" si="101"/>
        <v>-76.597021745677594</v>
      </c>
      <c r="BY95" s="2" t="b">
        <f>BX95&lt;=-$BV$128</f>
        <v>1</v>
      </c>
      <c r="BZ95" s="1">
        <v>66</v>
      </c>
      <c r="CA95" s="2">
        <f t="shared" si="81"/>
        <v>-24.064516129032256</v>
      </c>
      <c r="CB95" s="4">
        <f t="shared" si="102"/>
        <v>-287.697514722493</v>
      </c>
      <c r="CC95" s="2" t="b">
        <f t="shared" si="82"/>
        <v>1</v>
      </c>
    </row>
    <row r="96" spans="1:81" x14ac:dyDescent="0.2">
      <c r="A96" s="3">
        <v>45933</v>
      </c>
      <c r="B96" s="1">
        <v>84</v>
      </c>
      <c r="C96" s="2">
        <f t="shared" si="62"/>
        <v>-7.1935483870967687</v>
      </c>
      <c r="D96" s="4">
        <f t="shared" si="83"/>
        <v>-294.72689936429015</v>
      </c>
      <c r="E96" s="2" t="b">
        <f>D96&lt;=-$B$128</f>
        <v>1</v>
      </c>
      <c r="F96" s="1">
        <v>75</v>
      </c>
      <c r="G96" s="4">
        <f t="shared" si="63"/>
        <v>-12.258064516129039</v>
      </c>
      <c r="H96" s="4">
        <f t="shared" si="84"/>
        <v>-134.53509915892084</v>
      </c>
      <c r="I96" s="2" t="b">
        <f>H96&lt;=-$F$128</f>
        <v>1</v>
      </c>
      <c r="J96" s="1">
        <v>77</v>
      </c>
      <c r="K96" s="4">
        <f t="shared" si="64"/>
        <v>-12.709677419354833</v>
      </c>
      <c r="L96" s="4">
        <f t="shared" si="85"/>
        <v>-204.24562481736575</v>
      </c>
      <c r="M96" s="2" t="b">
        <f>L96&lt;=-$J$128</f>
        <v>1</v>
      </c>
      <c r="N96" s="1">
        <v>84</v>
      </c>
      <c r="O96" s="4">
        <f t="shared" si="65"/>
        <v>-3.6451612903225765</v>
      </c>
      <c r="P96" s="4">
        <f t="shared" si="86"/>
        <v>-129.57098463778172</v>
      </c>
      <c r="Q96" s="2" t="b">
        <f>P96&lt;=-$N$128</f>
        <v>1</v>
      </c>
      <c r="R96" s="1">
        <v>82</v>
      </c>
      <c r="S96" s="4">
        <f t="shared" si="66"/>
        <v>-9.7419354838709609</v>
      </c>
      <c r="T96" s="4">
        <f t="shared" si="87"/>
        <v>-348.58867402557541</v>
      </c>
      <c r="U96" s="2" t="b">
        <f>T96&lt;=-$R$128</f>
        <v>1</v>
      </c>
      <c r="V96" s="1">
        <v>81</v>
      </c>
      <c r="W96" s="4">
        <f t="shared" si="67"/>
        <v>-5.7419354838709609</v>
      </c>
      <c r="X96" s="4">
        <f t="shared" si="88"/>
        <v>-174.21714412316521</v>
      </c>
      <c r="Y96" s="2" t="b">
        <f>X96&lt;=-$V$128</f>
        <v>1</v>
      </c>
      <c r="Z96" s="1">
        <v>84</v>
      </c>
      <c r="AA96" s="4">
        <f t="shared" si="68"/>
        <v>-5.2580645161290391</v>
      </c>
      <c r="AB96" s="4">
        <f t="shared" si="89"/>
        <v>-154.72042164980883</v>
      </c>
      <c r="AC96" s="2" t="b">
        <f>AB96&lt;=-$Z$128</f>
        <v>1</v>
      </c>
      <c r="AD96" s="1">
        <v>66</v>
      </c>
      <c r="AE96" s="4">
        <f t="shared" si="69"/>
        <v>-19.58064516129032</v>
      </c>
      <c r="AF96" s="4">
        <f t="shared" si="90"/>
        <v>-154.38834523756557</v>
      </c>
      <c r="AG96" s="2" t="b">
        <f>AF96&lt;=-$AD$128</f>
        <v>1</v>
      </c>
      <c r="AH96" s="1">
        <v>80</v>
      </c>
      <c r="AI96" s="4">
        <f t="shared" si="70"/>
        <v>-7.8387096774193594</v>
      </c>
      <c r="AJ96" s="4">
        <f t="shared" si="91"/>
        <v>-273.05075598127229</v>
      </c>
      <c r="AK96" s="2" t="b">
        <f>AJ96&lt;=-$AH$128</f>
        <v>1</v>
      </c>
      <c r="AL96" s="1">
        <v>83</v>
      </c>
      <c r="AM96" s="4">
        <f t="shared" si="71"/>
        <v>-3.9354838709677438</v>
      </c>
      <c r="AN96" s="4">
        <f t="shared" si="92"/>
        <v>-11.867651657240074</v>
      </c>
      <c r="AO96" s="2" t="b">
        <f>AN96&lt;=-$AL$128</f>
        <v>0</v>
      </c>
      <c r="AP96" s="1">
        <v>82</v>
      </c>
      <c r="AQ96" s="4">
        <f t="shared" si="72"/>
        <v>-8.1935483870967687</v>
      </c>
      <c r="AR96" s="4">
        <f t="shared" si="93"/>
        <v>-251.02355408389025</v>
      </c>
      <c r="AS96" s="2" t="b">
        <f>AR96&lt;=-$AP$128</f>
        <v>1</v>
      </c>
      <c r="AT96" s="1">
        <v>77</v>
      </c>
      <c r="AU96" s="4">
        <f t="shared" si="73"/>
        <v>-9.4193548387096797</v>
      </c>
      <c r="AV96" s="4">
        <f t="shared" si="94"/>
        <v>-59.843672823699478</v>
      </c>
      <c r="AW96" s="2" t="b">
        <f>AV96&lt;=-$AT$128</f>
        <v>1</v>
      </c>
      <c r="AX96" s="1">
        <v>80</v>
      </c>
      <c r="AY96" s="4">
        <f t="shared" si="74"/>
        <v>-9.1612903225806406</v>
      </c>
      <c r="AZ96" s="4">
        <f t="shared" si="95"/>
        <v>-247.9363421848519</v>
      </c>
      <c r="BA96" s="2" t="b">
        <f>AZ96&lt;=-$AX$128</f>
        <v>1</v>
      </c>
      <c r="BB96" s="1">
        <v>76</v>
      </c>
      <c r="BC96" s="4">
        <f t="shared" si="75"/>
        <v>-10.645161290322577</v>
      </c>
      <c r="BD96" s="4">
        <f t="shared" si="96"/>
        <v>-180.35347622136169</v>
      </c>
      <c r="BE96" s="2" t="b">
        <f>BD96&lt;=-$BB$128</f>
        <v>1</v>
      </c>
      <c r="BF96" s="1">
        <v>68</v>
      </c>
      <c r="BG96" s="4">
        <f t="shared" si="76"/>
        <v>-23.258064516129039</v>
      </c>
      <c r="BH96" s="4">
        <f t="shared" si="97"/>
        <v>-100.83391977324439</v>
      </c>
      <c r="BI96" s="2" t="b">
        <f>BH96&lt;=-$BF$128</f>
        <v>1</v>
      </c>
      <c r="BJ96" s="1">
        <v>75</v>
      </c>
      <c r="BK96" s="4">
        <f t="shared" si="77"/>
        <v>-16.935483870967744</v>
      </c>
      <c r="BL96" s="4">
        <f t="shared" si="98"/>
        <v>-300.96814141769056</v>
      </c>
      <c r="BM96" s="2" t="b">
        <f>BL96&lt;=-$BJ$128</f>
        <v>1</v>
      </c>
      <c r="BN96" s="1">
        <v>74</v>
      </c>
      <c r="BO96" s="4">
        <f t="shared" si="78"/>
        <v>-20.096774193548384</v>
      </c>
      <c r="BP96" s="4">
        <f t="shared" si="99"/>
        <v>-438.05596657703876</v>
      </c>
      <c r="BQ96" s="2" t="b">
        <f>BP96&lt;=-$BN$128</f>
        <v>1</v>
      </c>
      <c r="BR96" s="1">
        <v>82</v>
      </c>
      <c r="BS96" s="4">
        <f t="shared" si="79"/>
        <v>-2.7096774193548328</v>
      </c>
      <c r="BT96" s="4">
        <f t="shared" si="100"/>
        <v>-72.130001436015732</v>
      </c>
      <c r="BU96" s="2" t="b">
        <f>BT96&lt;=-$BR$128</f>
        <v>1</v>
      </c>
      <c r="BV96" s="1">
        <v>78</v>
      </c>
      <c r="BW96" s="2">
        <f t="shared" si="80"/>
        <v>-8.6129032258064484</v>
      </c>
      <c r="BX96" s="4">
        <f t="shared" si="101"/>
        <v>-83.417917627029041</v>
      </c>
      <c r="BY96" s="2" t="b">
        <f>BX96&lt;=-$BV$128</f>
        <v>1</v>
      </c>
      <c r="BZ96" s="1">
        <v>66</v>
      </c>
      <c r="CA96" s="2">
        <f t="shared" si="81"/>
        <v>-24.064516129032256</v>
      </c>
      <c r="CB96" s="4">
        <f t="shared" si="102"/>
        <v>-309.98281995962697</v>
      </c>
      <c r="CC96" s="2" t="b">
        <f t="shared" si="82"/>
        <v>1</v>
      </c>
    </row>
    <row r="97" spans="1:81" x14ac:dyDescent="0.2">
      <c r="A97" s="3">
        <v>45934</v>
      </c>
      <c r="B97" s="1">
        <v>70</v>
      </c>
      <c r="C97" s="2">
        <f t="shared" si="62"/>
        <v>-21.193548387096769</v>
      </c>
      <c r="D97" s="4">
        <f t="shared" si="83"/>
        <v>-313.4695317497027</v>
      </c>
      <c r="E97" s="2" t="b">
        <f>D97&lt;=-$B$128</f>
        <v>1</v>
      </c>
      <c r="F97" s="1">
        <v>78</v>
      </c>
      <c r="G97" s="4">
        <f t="shared" si="63"/>
        <v>-9.2580645161290391</v>
      </c>
      <c r="H97" s="4">
        <f t="shared" si="84"/>
        <v>-141.57969075549755</v>
      </c>
      <c r="I97" s="2" t="b">
        <f>H97&lt;=-$F$128</f>
        <v>1</v>
      </c>
      <c r="J97" s="1">
        <v>82</v>
      </c>
      <c r="K97" s="4">
        <f t="shared" si="64"/>
        <v>-7.7096774193548328</v>
      </c>
      <c r="L97" s="4">
        <f t="shared" si="85"/>
        <v>-210.43218291338496</v>
      </c>
      <c r="M97" s="2" t="b">
        <f>L97&lt;=-$J$128</f>
        <v>1</v>
      </c>
      <c r="N97" s="1">
        <v>71</v>
      </c>
      <c r="O97" s="4">
        <f t="shared" si="65"/>
        <v>-16.645161290322577</v>
      </c>
      <c r="P97" s="4">
        <f t="shared" si="86"/>
        <v>-143.32492822876961</v>
      </c>
      <c r="Q97" s="2" t="b">
        <f>P97&lt;=-$N$128</f>
        <v>1</v>
      </c>
      <c r="R97" s="1">
        <v>81</v>
      </c>
      <c r="S97" s="4">
        <f t="shared" si="66"/>
        <v>-10.741935483870961</v>
      </c>
      <c r="T97" s="4">
        <f t="shared" si="87"/>
        <v>-356.57692185487758</v>
      </c>
      <c r="U97" s="2" t="b">
        <f>T97&lt;=-$R$128</f>
        <v>1</v>
      </c>
      <c r="V97" s="1">
        <v>80</v>
      </c>
      <c r="W97" s="4">
        <f t="shared" si="67"/>
        <v>-6.7419354838709609</v>
      </c>
      <c r="X97" s="4">
        <f t="shared" si="88"/>
        <v>-179.65544531568321</v>
      </c>
      <c r="Y97" s="2" t="b">
        <f>X97&lt;=-$V$128</f>
        <v>1</v>
      </c>
      <c r="Z97" s="1">
        <v>82</v>
      </c>
      <c r="AA97" s="4">
        <f t="shared" si="68"/>
        <v>-7.2580645161290391</v>
      </c>
      <c r="AB97" s="4">
        <f t="shared" si="89"/>
        <v>-160.10780116690904</v>
      </c>
      <c r="AC97" s="2" t="b">
        <f>AB97&lt;=-$Z$128</f>
        <v>1</v>
      </c>
      <c r="AD97" s="1">
        <v>77</v>
      </c>
      <c r="AE97" s="4">
        <f t="shared" si="69"/>
        <v>-8.5806451612903203</v>
      </c>
      <c r="AF97" s="4">
        <f t="shared" si="90"/>
        <v>-161.22364328176437</v>
      </c>
      <c r="AG97" s="2" t="b">
        <f>AF97&lt;=-$AD$128</f>
        <v>1</v>
      </c>
      <c r="AH97" s="1">
        <v>81</v>
      </c>
      <c r="AI97" s="4">
        <f t="shared" si="70"/>
        <v>-6.8387096774193594</v>
      </c>
      <c r="AJ97" s="4">
        <f t="shared" si="91"/>
        <v>-278.3397518453616</v>
      </c>
      <c r="AK97" s="2" t="b">
        <f>AJ97&lt;=-$AH$128</f>
        <v>1</v>
      </c>
      <c r="AL97" s="1">
        <v>85</v>
      </c>
      <c r="AM97" s="4">
        <f t="shared" si="71"/>
        <v>-1.9354838709677438</v>
      </c>
      <c r="AN97" s="4">
        <f t="shared" si="92"/>
        <v>-11.601108114395084</v>
      </c>
      <c r="AO97" s="2" t="b">
        <f>AN97&lt;=-$AL$128</f>
        <v>0</v>
      </c>
      <c r="AP97" s="1">
        <v>84</v>
      </c>
      <c r="AQ97" s="4">
        <f t="shared" si="72"/>
        <v>-6.1935483870967687</v>
      </c>
      <c r="AR97" s="4">
        <f t="shared" si="93"/>
        <v>-255.09806434470303</v>
      </c>
      <c r="AS97" s="2" t="b">
        <f>AR97&lt;=-$AP$128</f>
        <v>1</v>
      </c>
      <c r="AT97" s="1">
        <v>80</v>
      </c>
      <c r="AU97" s="4">
        <f t="shared" si="73"/>
        <v>-6.4193548387096797</v>
      </c>
      <c r="AV97" s="4">
        <f t="shared" si="94"/>
        <v>-64.585856464884458</v>
      </c>
      <c r="AW97" s="2" t="b">
        <f>AV97&lt;=-$AT$128</f>
        <v>1</v>
      </c>
      <c r="AX97" s="1">
        <v>83</v>
      </c>
      <c r="AY97" s="4">
        <f t="shared" si="74"/>
        <v>-6.1612903225806406</v>
      </c>
      <c r="AZ97" s="4">
        <f t="shared" si="95"/>
        <v>-252.72469906528789</v>
      </c>
      <c r="BA97" s="2" t="b">
        <f>AZ97&lt;=-$AX$128</f>
        <v>1</v>
      </c>
      <c r="BB97" s="1">
        <v>74</v>
      </c>
      <c r="BC97" s="4">
        <f t="shared" si="75"/>
        <v>-12.645161290322577</v>
      </c>
      <c r="BD97" s="4">
        <f t="shared" si="96"/>
        <v>-191.15225191139751</v>
      </c>
      <c r="BE97" s="2" t="b">
        <f>BD97&lt;=-$BB$128</f>
        <v>1</v>
      </c>
      <c r="BF97" s="1">
        <v>67</v>
      </c>
      <c r="BG97" s="4">
        <f t="shared" si="76"/>
        <v>-24.258064516129039</v>
      </c>
      <c r="BH97" s="4">
        <f t="shared" si="97"/>
        <v>-123.06315974489993</v>
      </c>
      <c r="BI97" s="2" t="b">
        <f>BH97&lt;=-$BF$128</f>
        <v>1</v>
      </c>
      <c r="BJ97" s="1">
        <v>80</v>
      </c>
      <c r="BK97" s="4">
        <f t="shared" si="77"/>
        <v>-11.935483870967744</v>
      </c>
      <c r="BL97" s="4">
        <f t="shared" si="98"/>
        <v>-311.16707946494694</v>
      </c>
      <c r="BM97" s="2" t="b">
        <f>BL97&lt;=-$BJ$128</f>
        <v>1</v>
      </c>
      <c r="BN97" s="1">
        <v>82</v>
      </c>
      <c r="BO97" s="4">
        <f t="shared" si="78"/>
        <v>-12.096774193548384</v>
      </c>
      <c r="BP97" s="4">
        <f t="shared" si="99"/>
        <v>-447.86016275043283</v>
      </c>
      <c r="BQ97" s="2" t="b">
        <f>BP97&lt;=-$BN$128</f>
        <v>1</v>
      </c>
      <c r="BR97" s="1">
        <v>85</v>
      </c>
      <c r="BS97" s="4">
        <f t="shared" si="79"/>
        <v>0.29032258064516725</v>
      </c>
      <c r="BT97" s="4">
        <f t="shared" si="100"/>
        <v>-69.90235446166372</v>
      </c>
      <c r="BU97" s="2" t="b">
        <f>BT97&lt;=-$BR$128</f>
        <v>1</v>
      </c>
      <c r="BV97" s="1">
        <v>65</v>
      </c>
      <c r="BW97" s="2">
        <f t="shared" si="80"/>
        <v>-21.612903225806448</v>
      </c>
      <c r="BX97" s="4">
        <f t="shared" si="101"/>
        <v>-103.23881350838049</v>
      </c>
      <c r="BY97" s="2" t="b">
        <f>BX97&lt;=-$BV$128</f>
        <v>1</v>
      </c>
      <c r="BZ97" s="1">
        <v>70</v>
      </c>
      <c r="CA97" s="2">
        <f t="shared" si="81"/>
        <v>-20.064516129032256</v>
      </c>
      <c r="CB97" s="4">
        <f t="shared" si="102"/>
        <v>-328.26812519676093</v>
      </c>
      <c r="CC97" s="2" t="b">
        <f t="shared" si="82"/>
        <v>1</v>
      </c>
    </row>
    <row r="98" spans="1:81" x14ac:dyDescent="0.2">
      <c r="A98" s="3">
        <v>45935</v>
      </c>
      <c r="B98" s="1">
        <v>66</v>
      </c>
      <c r="C98" s="2">
        <f t="shared" ref="C98:C124" si="103">B98-$B$125</f>
        <v>-25.193548387096769</v>
      </c>
      <c r="D98" s="4">
        <f t="shared" si="83"/>
        <v>-336.21216413511524</v>
      </c>
      <c r="E98" s="2" t="b">
        <f>D98&lt;=-$B$128</f>
        <v>1</v>
      </c>
      <c r="F98" s="1">
        <v>81</v>
      </c>
      <c r="G98" s="4">
        <f t="shared" ref="G98:G124" si="104">F98-$F$125</f>
        <v>-6.2580645161290391</v>
      </c>
      <c r="H98" s="4">
        <f t="shared" si="84"/>
        <v>-145.62428235207426</v>
      </c>
      <c r="I98" s="2" t="b">
        <f>H98&lt;=-$F$128</f>
        <v>1</v>
      </c>
      <c r="J98" s="1">
        <v>82</v>
      </c>
      <c r="K98" s="4">
        <f t="shared" ref="K98:K124" si="105">J98-$J$125</f>
        <v>-7.7096774193548328</v>
      </c>
      <c r="L98" s="4">
        <f t="shared" si="85"/>
        <v>-216.61874100940418</v>
      </c>
      <c r="M98" s="2" t="b">
        <f>L98&lt;=-$J$128</f>
        <v>1</v>
      </c>
      <c r="N98" s="1">
        <v>73</v>
      </c>
      <c r="O98" s="4">
        <f t="shared" ref="O98:O124" si="106">N98-$N$125</f>
        <v>-14.645161290322577</v>
      </c>
      <c r="P98" s="4">
        <f t="shared" si="86"/>
        <v>-155.0788718197575</v>
      </c>
      <c r="Q98" s="2" t="b">
        <f>P98&lt;=-$N$128</f>
        <v>1</v>
      </c>
      <c r="R98" s="1">
        <v>82</v>
      </c>
      <c r="S98" s="4">
        <f t="shared" ref="S98:S124" si="107">R98-$R$125</f>
        <v>-9.7419354838709609</v>
      </c>
      <c r="T98" s="4">
        <f t="shared" si="87"/>
        <v>-363.56516968417975</v>
      </c>
      <c r="U98" s="2" t="b">
        <f>T98&lt;=-$R$128</f>
        <v>1</v>
      </c>
      <c r="V98" s="1">
        <v>79</v>
      </c>
      <c r="W98" s="4">
        <f t="shared" ref="W98:W124" si="108">V98-$V$125</f>
        <v>-7.7419354838709609</v>
      </c>
      <c r="X98" s="4">
        <f t="shared" si="88"/>
        <v>-186.09374650820121</v>
      </c>
      <c r="Y98" s="2" t="b">
        <f>X98&lt;=-$V$128</f>
        <v>1</v>
      </c>
      <c r="Z98" s="1">
        <v>87</v>
      </c>
      <c r="AA98" s="4">
        <f t="shared" ref="AA98:AA124" si="109">Z98-$Z$125</f>
        <v>-2.2580645161290391</v>
      </c>
      <c r="AB98" s="4">
        <f t="shared" si="89"/>
        <v>-160.49518068400926</v>
      </c>
      <c r="AC98" s="2" t="b">
        <f>AB98&lt;=-$Z$128</f>
        <v>1</v>
      </c>
      <c r="AD98" s="1">
        <v>78</v>
      </c>
      <c r="AE98" s="4">
        <f t="shared" ref="AE98:AE124" si="110">AD98-$AD$125</f>
        <v>-7.5806451612903203</v>
      </c>
      <c r="AF98" s="4">
        <f t="shared" si="90"/>
        <v>-167.05894132596316</v>
      </c>
      <c r="AG98" s="2" t="b">
        <f>AF98&lt;=-$AD$128</f>
        <v>1</v>
      </c>
      <c r="AH98" s="1">
        <v>80</v>
      </c>
      <c r="AI98" s="4">
        <f t="shared" ref="AI98:AI124" si="111">AH98-$AH$125</f>
        <v>-7.8387096774193594</v>
      </c>
      <c r="AJ98" s="4">
        <f t="shared" si="91"/>
        <v>-284.62874770945092</v>
      </c>
      <c r="AK98" s="2" t="b">
        <f>AJ98&lt;=-$AH$128</f>
        <v>1</v>
      </c>
      <c r="AL98" s="1">
        <v>81</v>
      </c>
      <c r="AM98" s="4">
        <f t="shared" ref="AM98:AM124" si="112">AL98-$AL$125</f>
        <v>-5.9354838709677438</v>
      </c>
      <c r="AN98" s="4">
        <f t="shared" si="92"/>
        <v>-15.334564571550091</v>
      </c>
      <c r="AO98" s="2" t="b">
        <f>AN98&lt;=-$AL$128</f>
        <v>0</v>
      </c>
      <c r="AP98" s="1">
        <v>86</v>
      </c>
      <c r="AQ98" s="4">
        <f t="shared" ref="AQ98:AQ124" si="113">AP98-$AP$125</f>
        <v>-4.1935483870967687</v>
      </c>
      <c r="AR98" s="4">
        <f t="shared" si="93"/>
        <v>-257.17257460551576</v>
      </c>
      <c r="AS98" s="2" t="b">
        <f>AR98&lt;=-$AP$128</f>
        <v>1</v>
      </c>
      <c r="AT98" s="1">
        <v>81</v>
      </c>
      <c r="AU98" s="4">
        <f t="shared" ref="AU98:AU124" si="114">AT98-$AT$125</f>
        <v>-5.4193548387096797</v>
      </c>
      <c r="AV98" s="4">
        <f t="shared" si="94"/>
        <v>-68.328040106069437</v>
      </c>
      <c r="AW98" s="2" t="b">
        <f>AV98&lt;=-$AT$128</f>
        <v>1</v>
      </c>
      <c r="AX98" s="1">
        <v>83</v>
      </c>
      <c r="AY98" s="4">
        <f t="shared" ref="AY98:AY124" si="115">AX98-$AX$125</f>
        <v>-6.1612903225806406</v>
      </c>
      <c r="AZ98" s="4">
        <f t="shared" si="95"/>
        <v>-257.51305594572392</v>
      </c>
      <c r="BA98" s="2" t="b">
        <f>AZ98&lt;=-$AX$128</f>
        <v>1</v>
      </c>
      <c r="BB98" s="1">
        <v>62</v>
      </c>
      <c r="BC98" s="4">
        <f t="shared" ref="BC98:BC124" si="116">BB98-$BB$125</f>
        <v>-24.645161290322577</v>
      </c>
      <c r="BD98" s="4">
        <f t="shared" si="96"/>
        <v>-213.95102760143334</v>
      </c>
      <c r="BE98" s="2" t="b">
        <f>BD98&lt;=-$BB$128</f>
        <v>1</v>
      </c>
      <c r="BF98" s="1">
        <v>70</v>
      </c>
      <c r="BG98" s="4">
        <f t="shared" ref="BG98:BG124" si="117">BF98-$BF$125</f>
        <v>-21.258064516129039</v>
      </c>
      <c r="BH98" s="4">
        <f t="shared" si="97"/>
        <v>-142.29239971655551</v>
      </c>
      <c r="BI98" s="2" t="b">
        <f>BH98&lt;=-$BF$128</f>
        <v>1</v>
      </c>
      <c r="BJ98" s="1">
        <v>83</v>
      </c>
      <c r="BK98" s="4">
        <f t="shared" ref="BK98:BK124" si="118">BJ98-$BJ$125</f>
        <v>-8.9354838709677438</v>
      </c>
      <c r="BL98" s="4">
        <f t="shared" si="98"/>
        <v>-318.36601751220331</v>
      </c>
      <c r="BM98" s="2" t="b">
        <f>BL98&lt;=-$BJ$128</f>
        <v>1</v>
      </c>
      <c r="BN98" s="1">
        <v>82</v>
      </c>
      <c r="BO98" s="4">
        <f t="shared" ref="BO98:BO124" si="119">BN98-$BN$125</f>
        <v>-12.096774193548384</v>
      </c>
      <c r="BP98" s="4">
        <f t="shared" si="99"/>
        <v>-457.66435892382691</v>
      </c>
      <c r="BQ98" s="2" t="b">
        <f>BP98&lt;=-$BN$128</f>
        <v>1</v>
      </c>
      <c r="BR98" s="1">
        <v>84</v>
      </c>
      <c r="BS98" s="4">
        <f t="shared" ref="BS98:BS124" si="120">BR98-$BR$125</f>
        <v>-0.70967741935483275</v>
      </c>
      <c r="BT98" s="4">
        <f t="shared" si="100"/>
        <v>-68.674707487311707</v>
      </c>
      <c r="BU98" s="2" t="b">
        <f>BT98&lt;=-$BR$128</f>
        <v>1</v>
      </c>
      <c r="BV98" s="1">
        <v>71</v>
      </c>
      <c r="BW98" s="2">
        <f t="shared" ref="BW98:BW124" si="121">BV98-$BV$125</f>
        <v>-15.612903225806448</v>
      </c>
      <c r="BX98" s="4">
        <f t="shared" si="101"/>
        <v>-117.05970938973194</v>
      </c>
      <c r="BY98" s="2" t="b">
        <f>BX98&lt;=-$BV$128</f>
        <v>1</v>
      </c>
      <c r="BZ98" s="1">
        <v>73</v>
      </c>
      <c r="CA98" s="2">
        <f t="shared" ref="CA98:CA124" si="122">BZ98-$BZ$125</f>
        <v>-17.064516129032256</v>
      </c>
      <c r="CB98" s="4">
        <f t="shared" si="102"/>
        <v>-343.5534304338949</v>
      </c>
      <c r="CC98" s="2" t="b">
        <f>CB98&lt;=-$BZ$128</f>
        <v>1</v>
      </c>
    </row>
    <row r="99" spans="1:81" x14ac:dyDescent="0.2">
      <c r="A99" s="3">
        <v>45936</v>
      </c>
      <c r="B99" s="1">
        <v>64</v>
      </c>
      <c r="C99" s="2">
        <f t="shared" si="103"/>
        <v>-27.193548387096769</v>
      </c>
      <c r="D99" s="4">
        <f t="shared" si="83"/>
        <v>-360.95479652052779</v>
      </c>
      <c r="E99" s="2" t="b">
        <f>D99&lt;=-$B$128</f>
        <v>1</v>
      </c>
      <c r="F99" s="1">
        <v>82</v>
      </c>
      <c r="G99" s="4">
        <f t="shared" si="104"/>
        <v>-5.2580645161290391</v>
      </c>
      <c r="H99" s="4">
        <f t="shared" si="84"/>
        <v>-148.66887394865097</v>
      </c>
      <c r="I99" s="2" t="b">
        <f>H99&lt;=-$F$128</f>
        <v>1</v>
      </c>
      <c r="J99" s="1">
        <v>73</v>
      </c>
      <c r="K99" s="4">
        <f t="shared" si="105"/>
        <v>-16.709677419354833</v>
      </c>
      <c r="L99" s="4">
        <f t="shared" si="85"/>
        <v>-231.80529910542339</v>
      </c>
      <c r="M99" s="2" t="b">
        <f>L99&lt;=-$J$128</f>
        <v>1</v>
      </c>
      <c r="N99" s="1">
        <v>71</v>
      </c>
      <c r="O99" s="4">
        <f t="shared" si="106"/>
        <v>-16.645161290322577</v>
      </c>
      <c r="P99" s="4">
        <f t="shared" si="86"/>
        <v>-168.83281541074538</v>
      </c>
      <c r="Q99" s="2" t="b">
        <f>P99&lt;=-$N$128</f>
        <v>1</v>
      </c>
      <c r="R99" s="1">
        <v>73</v>
      </c>
      <c r="S99" s="4">
        <f t="shared" si="107"/>
        <v>-18.741935483870961</v>
      </c>
      <c r="T99" s="4">
        <f t="shared" si="87"/>
        <v>-379.55341751348192</v>
      </c>
      <c r="U99" s="2" t="b">
        <f>T99&lt;=-$R$128</f>
        <v>1</v>
      </c>
      <c r="V99" s="1">
        <v>70</v>
      </c>
      <c r="W99" s="4">
        <f t="shared" si="108"/>
        <v>-16.741935483870961</v>
      </c>
      <c r="X99" s="4">
        <f t="shared" si="88"/>
        <v>-201.5320477007192</v>
      </c>
      <c r="Y99" s="2" t="b">
        <f>X99&lt;=-$V$128</f>
        <v>1</v>
      </c>
      <c r="Z99" s="1">
        <v>86</v>
      </c>
      <c r="AA99" s="4">
        <f t="shared" si="109"/>
        <v>-3.2580645161290391</v>
      </c>
      <c r="AB99" s="4">
        <f t="shared" si="89"/>
        <v>-161.88256020110947</v>
      </c>
      <c r="AC99" s="2" t="b">
        <f>AB99&lt;=-$Z$128</f>
        <v>1</v>
      </c>
      <c r="AD99" s="1">
        <v>75</v>
      </c>
      <c r="AE99" s="4">
        <f t="shared" si="110"/>
        <v>-10.58064516129032</v>
      </c>
      <c r="AF99" s="4">
        <f t="shared" si="90"/>
        <v>-175.89423937016196</v>
      </c>
      <c r="AG99" s="2" t="b">
        <f>AF99&lt;=-$AD$128</f>
        <v>1</v>
      </c>
      <c r="AH99" s="1">
        <v>75</v>
      </c>
      <c r="AI99" s="4">
        <f t="shared" si="111"/>
        <v>-12.838709677419359</v>
      </c>
      <c r="AJ99" s="4">
        <f t="shared" si="91"/>
        <v>-295.91774357354024</v>
      </c>
      <c r="AK99" s="2" t="b">
        <f>AJ99&lt;=-$AH$128</f>
        <v>1</v>
      </c>
      <c r="AL99" s="1">
        <v>72</v>
      </c>
      <c r="AM99" s="4">
        <f t="shared" si="112"/>
        <v>-14.935483870967744</v>
      </c>
      <c r="AN99" s="4">
        <f t="shared" si="92"/>
        <v>-28.068021028705097</v>
      </c>
      <c r="AO99" s="8" t="b">
        <f>AN99&lt;=-$AL$128</f>
        <v>1</v>
      </c>
      <c r="AP99" s="1">
        <v>76</v>
      </c>
      <c r="AQ99" s="4">
        <f t="shared" si="113"/>
        <v>-14.193548387096769</v>
      </c>
      <c r="AR99" s="4">
        <f t="shared" si="93"/>
        <v>-269.24708486632852</v>
      </c>
      <c r="AS99" s="2" t="b">
        <f>AR99&lt;=-$AP$128</f>
        <v>1</v>
      </c>
      <c r="AT99" s="1">
        <v>82</v>
      </c>
      <c r="AU99" s="4">
        <f t="shared" si="114"/>
        <v>-4.4193548387096797</v>
      </c>
      <c r="AV99" s="4">
        <f t="shared" si="94"/>
        <v>-71.070223747254417</v>
      </c>
      <c r="AW99" s="2" t="b">
        <f>AV99&lt;=-$AT$128</f>
        <v>1</v>
      </c>
      <c r="AX99" s="1">
        <v>82</v>
      </c>
      <c r="AY99" s="4">
        <f t="shared" si="115"/>
        <v>-7.1612903225806406</v>
      </c>
      <c r="AZ99" s="4">
        <f t="shared" si="95"/>
        <v>-263.30141282615995</v>
      </c>
      <c r="BA99" s="2" t="b">
        <f>AZ99&lt;=-$AX$128</f>
        <v>1</v>
      </c>
      <c r="BB99" s="1">
        <v>71</v>
      </c>
      <c r="BC99" s="4">
        <f t="shared" si="116"/>
        <v>-15.645161290322577</v>
      </c>
      <c r="BD99" s="4">
        <f t="shared" si="96"/>
        <v>-227.74980329146916</v>
      </c>
      <c r="BE99" s="2" t="b">
        <f>BD99&lt;=-$BB$128</f>
        <v>1</v>
      </c>
      <c r="BF99" s="1">
        <v>73</v>
      </c>
      <c r="BG99" s="4">
        <f t="shared" si="117"/>
        <v>-18.258064516129039</v>
      </c>
      <c r="BH99" s="4">
        <f t="shared" si="97"/>
        <v>-158.52163968821105</v>
      </c>
      <c r="BI99" s="2" t="b">
        <f>BH99&lt;=-$BF$128</f>
        <v>1</v>
      </c>
      <c r="BJ99" s="1">
        <v>81</v>
      </c>
      <c r="BK99" s="4">
        <f t="shared" si="118"/>
        <v>-10.935483870967744</v>
      </c>
      <c r="BL99" s="4">
        <f t="shared" si="98"/>
        <v>-327.56495555945969</v>
      </c>
      <c r="BM99" s="2" t="b">
        <f>BL99&lt;=-$BJ$128</f>
        <v>1</v>
      </c>
      <c r="BN99" s="1">
        <v>83</v>
      </c>
      <c r="BO99" s="4">
        <f t="shared" si="119"/>
        <v>-11.096774193548384</v>
      </c>
      <c r="BP99" s="4">
        <f t="shared" si="99"/>
        <v>-466.46855509722099</v>
      </c>
      <c r="BQ99" s="2" t="b">
        <f>BP99&lt;=-$BN$128</f>
        <v>1</v>
      </c>
      <c r="BR99" s="1">
        <v>84</v>
      </c>
      <c r="BS99" s="4">
        <f t="shared" si="120"/>
        <v>-0.70967741935483275</v>
      </c>
      <c r="BT99" s="4">
        <f t="shared" si="100"/>
        <v>-67.447060512959695</v>
      </c>
      <c r="BU99" s="2" t="b">
        <f>BT99&lt;=-$BR$128</f>
        <v>1</v>
      </c>
      <c r="BV99" s="1">
        <v>78</v>
      </c>
      <c r="BW99" s="2">
        <f t="shared" si="121"/>
        <v>-8.6129032258064484</v>
      </c>
      <c r="BX99" s="4">
        <f t="shared" si="101"/>
        <v>-123.88060527108338</v>
      </c>
      <c r="BY99" s="2" t="b">
        <f>BX99&lt;=-$BV$128</f>
        <v>1</v>
      </c>
      <c r="BZ99" s="1">
        <v>76</v>
      </c>
      <c r="CA99" s="2">
        <f t="shared" si="122"/>
        <v>-14.064516129032256</v>
      </c>
      <c r="CB99" s="4">
        <f t="shared" si="102"/>
        <v>-355.83873567102887</v>
      </c>
      <c r="CC99" s="2" t="b">
        <f>CB99&lt;=-$BZ$128</f>
        <v>1</v>
      </c>
    </row>
    <row r="100" spans="1:81" x14ac:dyDescent="0.2">
      <c r="A100" s="3">
        <v>45937</v>
      </c>
      <c r="B100" s="1">
        <v>60</v>
      </c>
      <c r="C100" s="2">
        <f t="shared" si="103"/>
        <v>-31.193548387096769</v>
      </c>
      <c r="D100" s="4">
        <f t="shared" si="83"/>
        <v>-389.69742890594034</v>
      </c>
      <c r="E100" s="2" t="b">
        <f>D100&lt;=-$B$128</f>
        <v>1</v>
      </c>
      <c r="F100" s="1">
        <v>82</v>
      </c>
      <c r="G100" s="4">
        <f t="shared" si="104"/>
        <v>-5.2580645161290391</v>
      </c>
      <c r="H100" s="4">
        <f t="shared" si="84"/>
        <v>-151.71346554522768</v>
      </c>
      <c r="I100" s="2" t="b">
        <f>H100&lt;=-$F$128</f>
        <v>1</v>
      </c>
      <c r="J100" s="1">
        <v>82</v>
      </c>
      <c r="K100" s="4">
        <f t="shared" si="105"/>
        <v>-7.7096774193548328</v>
      </c>
      <c r="L100" s="4">
        <f t="shared" si="85"/>
        <v>-237.9918572014426</v>
      </c>
      <c r="M100" s="2" t="b">
        <f>L100&lt;=-$J$128</f>
        <v>1</v>
      </c>
      <c r="N100" s="1">
        <v>73</v>
      </c>
      <c r="O100" s="4">
        <f t="shared" si="106"/>
        <v>-14.645161290322577</v>
      </c>
      <c r="P100" s="4">
        <f t="shared" si="86"/>
        <v>-180.58675900173327</v>
      </c>
      <c r="Q100" s="2" t="b">
        <f>P100&lt;=-$N$128</f>
        <v>1</v>
      </c>
      <c r="R100" s="1">
        <v>66</v>
      </c>
      <c r="S100" s="4">
        <f t="shared" si="107"/>
        <v>-25.741935483870961</v>
      </c>
      <c r="T100" s="4">
        <f t="shared" si="87"/>
        <v>-402.54166534278409</v>
      </c>
      <c r="U100" s="2" t="b">
        <f>T100&lt;=-$R$128</f>
        <v>1</v>
      </c>
      <c r="V100" s="1">
        <v>68</v>
      </c>
      <c r="W100" s="4">
        <f t="shared" si="108"/>
        <v>-18.741935483870961</v>
      </c>
      <c r="X100" s="4">
        <f t="shared" si="88"/>
        <v>-218.9703488932372</v>
      </c>
      <c r="Y100" s="2" t="b">
        <f>X100&lt;=-$V$128</f>
        <v>1</v>
      </c>
      <c r="Z100" s="1">
        <v>80</v>
      </c>
      <c r="AA100" s="4">
        <f t="shared" si="109"/>
        <v>-9.2580645161290391</v>
      </c>
      <c r="AB100" s="4">
        <f t="shared" si="89"/>
        <v>-169.26993971820968</v>
      </c>
      <c r="AC100" s="2" t="b">
        <f>AB100&lt;=-$Z$128</f>
        <v>1</v>
      </c>
      <c r="AD100" s="1">
        <v>73</v>
      </c>
      <c r="AE100" s="4">
        <f t="shared" si="110"/>
        <v>-12.58064516129032</v>
      </c>
      <c r="AF100" s="4">
        <f t="shared" si="90"/>
        <v>-186.72953741436075</v>
      </c>
      <c r="AG100" s="2" t="b">
        <f>AF100&lt;=-$AD$128</f>
        <v>1</v>
      </c>
      <c r="AH100" s="1">
        <v>75</v>
      </c>
      <c r="AI100" s="4">
        <f t="shared" si="111"/>
        <v>-12.838709677419359</v>
      </c>
      <c r="AJ100" s="4">
        <f t="shared" si="91"/>
        <v>-307.20673943762955</v>
      </c>
      <c r="AK100" s="2" t="b">
        <f>AJ100&lt;=-$AH$128</f>
        <v>1</v>
      </c>
      <c r="AL100" s="1">
        <v>72</v>
      </c>
      <c r="AM100" s="4">
        <f t="shared" si="112"/>
        <v>-14.935483870967744</v>
      </c>
      <c r="AN100" s="4">
        <f t="shared" si="92"/>
        <v>-40.801477485860104</v>
      </c>
      <c r="AO100" s="2" t="b">
        <f>AN100&lt;=-$AL$128</f>
        <v>1</v>
      </c>
      <c r="AP100" s="1">
        <v>72</v>
      </c>
      <c r="AQ100" s="4">
        <f t="shared" si="113"/>
        <v>-18.193548387096769</v>
      </c>
      <c r="AR100" s="4">
        <f t="shared" si="93"/>
        <v>-285.32159512714128</v>
      </c>
      <c r="AS100" s="2" t="b">
        <f>AR100&lt;=-$AP$128</f>
        <v>1</v>
      </c>
      <c r="AT100" s="1">
        <v>83</v>
      </c>
      <c r="AU100" s="4">
        <f t="shared" si="114"/>
        <v>-3.4193548387096797</v>
      </c>
      <c r="AV100" s="4">
        <f t="shared" si="94"/>
        <v>-72.812407388439397</v>
      </c>
      <c r="AW100" s="2" t="b">
        <f>AV100&lt;=-$AT$128</f>
        <v>1</v>
      </c>
      <c r="AX100" s="1">
        <v>82</v>
      </c>
      <c r="AY100" s="4">
        <f t="shared" si="115"/>
        <v>-7.1612903225806406</v>
      </c>
      <c r="AZ100" s="4">
        <f t="shared" si="95"/>
        <v>-269.08976970659597</v>
      </c>
      <c r="BA100" s="2" t="b">
        <f>AZ100&lt;=-$AX$128</f>
        <v>1</v>
      </c>
      <c r="BB100" s="1">
        <v>79</v>
      </c>
      <c r="BC100" s="4">
        <f t="shared" si="116"/>
        <v>-7.6451612903225765</v>
      </c>
      <c r="BD100" s="4">
        <f t="shared" si="96"/>
        <v>-233.54857898150499</v>
      </c>
      <c r="BE100" s="2" t="b">
        <f>BD100&lt;=-$BB$128</f>
        <v>1</v>
      </c>
      <c r="BF100" s="1">
        <v>81</v>
      </c>
      <c r="BG100" s="4">
        <f t="shared" si="117"/>
        <v>-10.258064516129039</v>
      </c>
      <c r="BH100" s="4">
        <f t="shared" si="97"/>
        <v>-166.7508796598666</v>
      </c>
      <c r="BI100" s="2" t="b">
        <f>BH100&lt;=-$BF$128</f>
        <v>1</v>
      </c>
      <c r="BJ100" s="1">
        <v>79</v>
      </c>
      <c r="BK100" s="4">
        <f t="shared" si="118"/>
        <v>-12.935483870967744</v>
      </c>
      <c r="BL100" s="4">
        <f t="shared" si="98"/>
        <v>-338.76389360671607</v>
      </c>
      <c r="BM100" s="2" t="b">
        <f>BL100&lt;=-$BJ$128</f>
        <v>1</v>
      </c>
      <c r="BN100" s="1">
        <v>68</v>
      </c>
      <c r="BO100" s="4">
        <f t="shared" si="119"/>
        <v>-26.096774193548384</v>
      </c>
      <c r="BP100" s="4">
        <f t="shared" si="99"/>
        <v>-490.27275127061506</v>
      </c>
      <c r="BQ100" s="2" t="b">
        <f>BP100&lt;=-$BN$128</f>
        <v>1</v>
      </c>
      <c r="BR100" s="1">
        <v>74</v>
      </c>
      <c r="BS100" s="4">
        <f t="shared" si="120"/>
        <v>-10.709677419354833</v>
      </c>
      <c r="BT100" s="4">
        <f t="shared" si="100"/>
        <v>-76.219413538607682</v>
      </c>
      <c r="BU100" s="2" t="b">
        <f>BT100&lt;=-$BR$128</f>
        <v>1</v>
      </c>
      <c r="BV100" s="1">
        <v>82</v>
      </c>
      <c r="BW100" s="2">
        <f t="shared" si="121"/>
        <v>-4.6129032258064484</v>
      </c>
      <c r="BX100" s="4">
        <f t="shared" si="101"/>
        <v>-126.70150115243483</v>
      </c>
      <c r="BY100" s="2" t="b">
        <f>BX100&lt;=-$BV$128</f>
        <v>1</v>
      </c>
      <c r="BZ100" s="1">
        <v>81</v>
      </c>
      <c r="CA100" s="2">
        <f t="shared" si="122"/>
        <v>-9.0645161290322562</v>
      </c>
      <c r="CB100" s="4">
        <f t="shared" si="102"/>
        <v>-363.12404090816284</v>
      </c>
      <c r="CC100" s="2" t="b">
        <f>CB100&lt;=-$BZ$128</f>
        <v>1</v>
      </c>
    </row>
    <row r="101" spans="1:81" x14ac:dyDescent="0.2">
      <c r="A101" s="3">
        <v>45938</v>
      </c>
      <c r="B101" s="1">
        <v>78</v>
      </c>
      <c r="C101" s="2">
        <f t="shared" si="103"/>
        <v>-13.193548387096769</v>
      </c>
      <c r="D101" s="4">
        <f t="shared" si="83"/>
        <v>-400.44006129135289</v>
      </c>
      <c r="E101" s="2" t="b">
        <f>D101&lt;=-$B$128</f>
        <v>1</v>
      </c>
      <c r="F101" s="1">
        <v>82</v>
      </c>
      <c r="G101" s="4">
        <f t="shared" si="104"/>
        <v>-5.2580645161290391</v>
      </c>
      <c r="H101" s="4">
        <f t="shared" si="84"/>
        <v>-154.75805714180439</v>
      </c>
      <c r="I101" s="2" t="b">
        <f>H101&lt;=-$F$128</f>
        <v>1</v>
      </c>
      <c r="J101" s="1">
        <v>69</v>
      </c>
      <c r="K101" s="4">
        <f t="shared" si="105"/>
        <v>-20.709677419354833</v>
      </c>
      <c r="L101" s="4">
        <f t="shared" si="85"/>
        <v>-257.17841529746181</v>
      </c>
      <c r="M101" s="2" t="b">
        <f>L101&lt;=-$J$128</f>
        <v>1</v>
      </c>
      <c r="N101" s="1">
        <v>73</v>
      </c>
      <c r="O101" s="4">
        <f t="shared" si="106"/>
        <v>-14.645161290322577</v>
      </c>
      <c r="P101" s="4">
        <f t="shared" si="86"/>
        <v>-192.34070259272116</v>
      </c>
      <c r="Q101" s="2" t="b">
        <f>P101&lt;=-$N$128</f>
        <v>1</v>
      </c>
      <c r="R101" s="1">
        <v>55</v>
      </c>
      <c r="S101" s="4">
        <f t="shared" si="107"/>
        <v>-36.741935483870961</v>
      </c>
      <c r="T101" s="4">
        <f t="shared" si="87"/>
        <v>-436.52991317208625</v>
      </c>
      <c r="U101" s="2" t="b">
        <f>T101&lt;=-$R$128</f>
        <v>1</v>
      </c>
      <c r="V101" s="1">
        <v>79</v>
      </c>
      <c r="W101" s="4">
        <f t="shared" si="108"/>
        <v>-7.7419354838709609</v>
      </c>
      <c r="X101" s="4">
        <f t="shared" si="88"/>
        <v>-225.4086500857552</v>
      </c>
      <c r="Y101" s="2" t="b">
        <f>X101&lt;=-$V$128</f>
        <v>1</v>
      </c>
      <c r="Z101" s="1">
        <v>71</v>
      </c>
      <c r="AA101" s="4">
        <f t="shared" si="109"/>
        <v>-18.258064516129039</v>
      </c>
      <c r="AB101" s="4">
        <f t="shared" si="89"/>
        <v>-185.6573192353099</v>
      </c>
      <c r="AC101" s="2" t="b">
        <f>AB101&lt;=-$Z$128</f>
        <v>1</v>
      </c>
      <c r="AD101" s="1">
        <v>73</v>
      </c>
      <c r="AE101" s="4">
        <f t="shared" si="110"/>
        <v>-12.58064516129032</v>
      </c>
      <c r="AF101" s="4">
        <f t="shared" si="90"/>
        <v>-197.56483545855954</v>
      </c>
      <c r="AG101" s="2" t="b">
        <f>AF101&lt;=-$AD$128</f>
        <v>1</v>
      </c>
      <c r="AH101" s="1">
        <v>73</v>
      </c>
      <c r="AI101" s="4">
        <f t="shared" si="111"/>
        <v>-14.838709677419359</v>
      </c>
      <c r="AJ101" s="4">
        <f t="shared" si="91"/>
        <v>-320.49573530171887</v>
      </c>
      <c r="AK101" s="2" t="b">
        <f>AJ101&lt;=-$AH$128</f>
        <v>1</v>
      </c>
      <c r="AL101" s="1">
        <v>73</v>
      </c>
      <c r="AM101" s="4">
        <f t="shared" si="112"/>
        <v>-13.935483870967744</v>
      </c>
      <c r="AN101" s="4">
        <f t="shared" si="92"/>
        <v>-52.534933943015112</v>
      </c>
      <c r="AO101" s="2" t="b">
        <f>AN101&lt;=-$AL$128</f>
        <v>1</v>
      </c>
      <c r="AP101" s="1">
        <v>72</v>
      </c>
      <c r="AQ101" s="4">
        <f t="shared" si="113"/>
        <v>-18.193548387096769</v>
      </c>
      <c r="AR101" s="4">
        <f t="shared" si="93"/>
        <v>-301.39610538795404</v>
      </c>
      <c r="AS101" s="2" t="b">
        <f>AR101&lt;=-$AP$128</f>
        <v>1</v>
      </c>
      <c r="AT101" s="1">
        <v>83</v>
      </c>
      <c r="AU101" s="4">
        <f t="shared" si="114"/>
        <v>-3.4193548387096797</v>
      </c>
      <c r="AV101" s="4">
        <f t="shared" si="94"/>
        <v>-74.554591029624376</v>
      </c>
      <c r="AW101" s="2" t="b">
        <f>AV101&lt;=-$AT$128</f>
        <v>1</v>
      </c>
      <c r="AX101" s="1">
        <v>72</v>
      </c>
      <c r="AY101" s="4">
        <f t="shared" si="115"/>
        <v>-17.161290322580641</v>
      </c>
      <c r="AZ101" s="4">
        <f t="shared" si="95"/>
        <v>-284.878126587032</v>
      </c>
      <c r="BA101" s="2" t="b">
        <f>AZ101&lt;=-$AX$128</f>
        <v>1</v>
      </c>
      <c r="BB101" s="1">
        <v>80</v>
      </c>
      <c r="BC101" s="4">
        <f t="shared" si="116"/>
        <v>-6.6451612903225765</v>
      </c>
      <c r="BD101" s="4">
        <f t="shared" si="96"/>
        <v>-238.34735467154081</v>
      </c>
      <c r="BE101" s="2" t="b">
        <f>BD101&lt;=-$BB$128</f>
        <v>1</v>
      </c>
      <c r="BF101" s="1">
        <v>82</v>
      </c>
      <c r="BG101" s="4">
        <f t="shared" si="117"/>
        <v>-9.2580645161290391</v>
      </c>
      <c r="BH101" s="4">
        <f t="shared" si="97"/>
        <v>-173.98011963152214</v>
      </c>
      <c r="BI101" s="2" t="b">
        <f>BH101&lt;=-$BF$128</f>
        <v>1</v>
      </c>
      <c r="BJ101" s="1">
        <v>78</v>
      </c>
      <c r="BK101" s="4">
        <f t="shared" si="118"/>
        <v>-13.935483870967744</v>
      </c>
      <c r="BL101" s="4">
        <f t="shared" si="98"/>
        <v>-350.96283165397244</v>
      </c>
      <c r="BM101" s="2" t="b">
        <f>BL101&lt;=-$BJ$128</f>
        <v>1</v>
      </c>
      <c r="BN101" s="1">
        <v>63</v>
      </c>
      <c r="BO101" s="4">
        <f t="shared" si="119"/>
        <v>-31.096774193548384</v>
      </c>
      <c r="BP101" s="4">
        <f t="shared" si="99"/>
        <v>-519.07694744400908</v>
      </c>
      <c r="BQ101" s="2" t="b">
        <f>BP101&lt;=-$BN$128</f>
        <v>1</v>
      </c>
      <c r="BR101" s="1">
        <v>72</v>
      </c>
      <c r="BS101" s="4">
        <f t="shared" si="120"/>
        <v>-12.709677419354833</v>
      </c>
      <c r="BT101" s="4">
        <f t="shared" si="100"/>
        <v>-86.99176656425567</v>
      </c>
      <c r="BU101" s="2" t="b">
        <f>BT101&lt;=-$BR$128</f>
        <v>1</v>
      </c>
      <c r="BV101" s="1">
        <v>86</v>
      </c>
      <c r="BW101" s="2">
        <f t="shared" si="121"/>
        <v>-0.6129032258064484</v>
      </c>
      <c r="BX101" s="4">
        <f t="shared" si="101"/>
        <v>-125.52239703378628</v>
      </c>
      <c r="BY101" s="2" t="b">
        <f>BX101&lt;=-$BV$128</f>
        <v>1</v>
      </c>
      <c r="BZ101" s="1">
        <v>82</v>
      </c>
      <c r="CA101" s="2">
        <f t="shared" si="122"/>
        <v>-8.0645161290322562</v>
      </c>
      <c r="CB101" s="4">
        <f t="shared" si="102"/>
        <v>-369.40934614529681</v>
      </c>
      <c r="CC101" s="2" t="b">
        <f>CB101&lt;=-$BZ$128</f>
        <v>1</v>
      </c>
    </row>
    <row r="102" spans="1:81" x14ac:dyDescent="0.2">
      <c r="A102" s="3">
        <v>45939</v>
      </c>
      <c r="B102" s="1">
        <v>70</v>
      </c>
      <c r="C102" s="2">
        <f t="shared" si="103"/>
        <v>-21.193548387096769</v>
      </c>
      <c r="D102" s="4">
        <f t="shared" si="83"/>
        <v>-419.18269367676544</v>
      </c>
      <c r="E102" s="2" t="b">
        <f>D102&lt;=-$B$128</f>
        <v>1</v>
      </c>
      <c r="F102" s="1">
        <v>80</v>
      </c>
      <c r="G102" s="4">
        <f t="shared" si="104"/>
        <v>-7.2580645161290391</v>
      </c>
      <c r="H102" s="4">
        <f t="shared" si="84"/>
        <v>-159.80264873838109</v>
      </c>
      <c r="I102" s="2" t="b">
        <f>H102&lt;=-$F$128</f>
        <v>1</v>
      </c>
      <c r="J102" s="1">
        <v>72</v>
      </c>
      <c r="K102" s="4">
        <f t="shared" si="105"/>
        <v>-17.709677419354833</v>
      </c>
      <c r="L102" s="4">
        <f t="shared" si="85"/>
        <v>-273.36497339348102</v>
      </c>
      <c r="M102" s="2" t="b">
        <f>L102&lt;=-$J$128</f>
        <v>1</v>
      </c>
      <c r="N102" s="1">
        <v>72</v>
      </c>
      <c r="O102" s="4">
        <f t="shared" si="106"/>
        <v>-15.645161290322577</v>
      </c>
      <c r="P102" s="4">
        <f t="shared" si="86"/>
        <v>-205.09464618370905</v>
      </c>
      <c r="Q102" s="2" t="b">
        <f>P102&lt;=-$N$128</f>
        <v>1</v>
      </c>
      <c r="R102" s="1">
        <v>55</v>
      </c>
      <c r="S102" s="4">
        <f t="shared" si="107"/>
        <v>-36.741935483870961</v>
      </c>
      <c r="T102" s="4">
        <f t="shared" si="87"/>
        <v>-470.51816100138842</v>
      </c>
      <c r="U102" s="2" t="b">
        <f>T102&lt;=-$R$128</f>
        <v>1</v>
      </c>
      <c r="V102" s="1">
        <v>66</v>
      </c>
      <c r="W102" s="4">
        <f t="shared" si="108"/>
        <v>-20.741935483870961</v>
      </c>
      <c r="X102" s="4">
        <f t="shared" si="88"/>
        <v>-244.8469512782732</v>
      </c>
      <c r="Y102" s="2" t="b">
        <f>X102&lt;=-$V$128</f>
        <v>1</v>
      </c>
      <c r="Z102" s="1">
        <v>66</v>
      </c>
      <c r="AA102" s="4">
        <f t="shared" si="109"/>
        <v>-23.258064516129039</v>
      </c>
      <c r="AB102" s="4">
        <f t="shared" si="89"/>
        <v>-207.04469875241011</v>
      </c>
      <c r="AC102" s="2" t="b">
        <f>AB102&lt;=-$Z$128</f>
        <v>1</v>
      </c>
      <c r="AD102" s="1">
        <v>73</v>
      </c>
      <c r="AE102" s="4">
        <f t="shared" si="110"/>
        <v>-12.58064516129032</v>
      </c>
      <c r="AF102" s="4">
        <f t="shared" si="90"/>
        <v>-208.40013350275834</v>
      </c>
      <c r="AG102" s="2" t="b">
        <f>AF102&lt;=-$AD$128</f>
        <v>1</v>
      </c>
      <c r="AH102" s="1">
        <v>71</v>
      </c>
      <c r="AI102" s="4">
        <f t="shared" si="111"/>
        <v>-16.838709677419359</v>
      </c>
      <c r="AJ102" s="4">
        <f t="shared" si="91"/>
        <v>-335.78473116580818</v>
      </c>
      <c r="AK102" s="2" t="b">
        <f>AJ102&lt;=-$AH$128</f>
        <v>1</v>
      </c>
      <c r="AL102" s="1">
        <v>70</v>
      </c>
      <c r="AM102" s="4">
        <f t="shared" si="112"/>
        <v>-16.935483870967744</v>
      </c>
      <c r="AN102" s="4">
        <f t="shared" si="92"/>
        <v>-67.268390400170134</v>
      </c>
      <c r="AO102" s="2" t="b">
        <f>AN102&lt;=-$AL$128</f>
        <v>1</v>
      </c>
      <c r="AP102" s="1">
        <v>79</v>
      </c>
      <c r="AQ102" s="4">
        <f t="shared" si="113"/>
        <v>-11.193548387096769</v>
      </c>
      <c r="AR102" s="4">
        <f t="shared" si="93"/>
        <v>-310.4706156487668</v>
      </c>
      <c r="AS102" s="2" t="b">
        <f>AR102&lt;=-$AP$128</f>
        <v>1</v>
      </c>
      <c r="AT102" s="1">
        <v>81</v>
      </c>
      <c r="AU102" s="4">
        <f t="shared" si="114"/>
        <v>-5.4193548387096797</v>
      </c>
      <c r="AV102" s="4">
        <f t="shared" si="94"/>
        <v>-78.296774670809356</v>
      </c>
      <c r="AW102" s="2" t="b">
        <f>AV102&lt;=-$AT$128</f>
        <v>1</v>
      </c>
      <c r="AX102" s="1">
        <v>75</v>
      </c>
      <c r="AY102" s="4">
        <f t="shared" si="115"/>
        <v>-14.161290322580641</v>
      </c>
      <c r="AZ102" s="4">
        <f t="shared" si="95"/>
        <v>-297.66648346746803</v>
      </c>
      <c r="BA102" s="2" t="b">
        <f>AZ102&lt;=-$AX$128</f>
        <v>1</v>
      </c>
      <c r="BB102" s="1">
        <v>85</v>
      </c>
      <c r="BC102" s="4">
        <f t="shared" si="116"/>
        <v>-1.6451612903225765</v>
      </c>
      <c r="BD102" s="4">
        <f t="shared" si="96"/>
        <v>-238.14613036157664</v>
      </c>
      <c r="BE102" s="2" t="b">
        <f>BD102&lt;=-$BB$128</f>
        <v>1</v>
      </c>
      <c r="BF102" s="1">
        <v>85</v>
      </c>
      <c r="BG102" s="4">
        <f t="shared" si="117"/>
        <v>-6.2580645161290391</v>
      </c>
      <c r="BH102" s="4">
        <f t="shared" si="97"/>
        <v>-178.20935960317769</v>
      </c>
      <c r="BI102" s="2" t="b">
        <f>BH102&lt;=-$BF$128</f>
        <v>1</v>
      </c>
      <c r="BJ102" s="1">
        <v>72</v>
      </c>
      <c r="BK102" s="4">
        <f t="shared" si="118"/>
        <v>-19.935483870967744</v>
      </c>
      <c r="BL102" s="4">
        <f t="shared" si="98"/>
        <v>-369.16176970122882</v>
      </c>
      <c r="BM102" s="2" t="b">
        <f>BL102&lt;=-$BJ$128</f>
        <v>1</v>
      </c>
      <c r="BN102" s="1">
        <v>70</v>
      </c>
      <c r="BO102" s="4">
        <f t="shared" si="119"/>
        <v>-24.096774193548384</v>
      </c>
      <c r="BP102" s="4">
        <f t="shared" si="99"/>
        <v>-540.88114361740315</v>
      </c>
      <c r="BQ102" s="2" t="b">
        <f>BP102&lt;=-$BN$128</f>
        <v>1</v>
      </c>
      <c r="BR102" s="1">
        <v>76</v>
      </c>
      <c r="BS102" s="4">
        <f t="shared" si="120"/>
        <v>-8.7096774193548328</v>
      </c>
      <c r="BT102" s="4">
        <f t="shared" si="100"/>
        <v>-93.764119589903657</v>
      </c>
      <c r="BU102" s="2" t="b">
        <f>BT102&lt;=-$BR$128</f>
        <v>1</v>
      </c>
      <c r="BV102" s="1">
        <v>86</v>
      </c>
      <c r="BW102" s="2">
        <f t="shared" si="121"/>
        <v>-0.6129032258064484</v>
      </c>
      <c r="BX102" s="4">
        <f t="shared" si="101"/>
        <v>-124.34329291513772</v>
      </c>
      <c r="BY102" s="2" t="b">
        <f>BX102&lt;=-$BV$128</f>
        <v>1</v>
      </c>
      <c r="BZ102" s="1">
        <v>81</v>
      </c>
      <c r="CA102" s="2">
        <f t="shared" si="122"/>
        <v>-9.0645161290322562</v>
      </c>
      <c r="CB102" s="4">
        <f t="shared" si="102"/>
        <v>-376.69465138243078</v>
      </c>
      <c r="CC102" s="2" t="b">
        <f>CB102&lt;=-$BZ$128</f>
        <v>1</v>
      </c>
    </row>
    <row r="103" spans="1:81" x14ac:dyDescent="0.2">
      <c r="A103" s="3">
        <v>45940</v>
      </c>
      <c r="B103" s="1">
        <v>72</v>
      </c>
      <c r="C103" s="2">
        <f t="shared" si="103"/>
        <v>-19.193548387096769</v>
      </c>
      <c r="D103" s="4">
        <f t="shared" si="83"/>
        <v>-435.92532606217799</v>
      </c>
      <c r="E103" s="2" t="b">
        <f>D103&lt;=-$B$128</f>
        <v>1</v>
      </c>
      <c r="F103" s="1">
        <v>82</v>
      </c>
      <c r="G103" s="4">
        <f t="shared" si="104"/>
        <v>-5.2580645161290391</v>
      </c>
      <c r="H103" s="4">
        <f t="shared" si="84"/>
        <v>-162.8472403349578</v>
      </c>
      <c r="I103" s="2" t="b">
        <f>H103&lt;=-$F$128</f>
        <v>1</v>
      </c>
      <c r="J103" s="1">
        <v>73</v>
      </c>
      <c r="K103" s="4">
        <f t="shared" si="105"/>
        <v>-16.709677419354833</v>
      </c>
      <c r="L103" s="4">
        <f t="shared" si="85"/>
        <v>-288.55153148950023</v>
      </c>
      <c r="M103" s="2" t="b">
        <f>L103&lt;=-$J$128</f>
        <v>1</v>
      </c>
      <c r="N103" s="1">
        <v>72</v>
      </c>
      <c r="O103" s="4">
        <f t="shared" si="106"/>
        <v>-15.645161290322577</v>
      </c>
      <c r="P103" s="4">
        <f t="shared" si="86"/>
        <v>-217.84858977469693</v>
      </c>
      <c r="Q103" s="2" t="b">
        <f>P103&lt;=-$N$128</f>
        <v>1</v>
      </c>
      <c r="R103" s="1">
        <v>64</v>
      </c>
      <c r="S103" s="4">
        <f t="shared" si="107"/>
        <v>-27.741935483870961</v>
      </c>
      <c r="T103" s="4">
        <f t="shared" si="87"/>
        <v>-495.50640883069059</v>
      </c>
      <c r="U103" s="2" t="b">
        <f>T103&lt;=-$R$128</f>
        <v>1</v>
      </c>
      <c r="V103" s="1">
        <v>73</v>
      </c>
      <c r="W103" s="4">
        <f t="shared" si="108"/>
        <v>-13.741935483870961</v>
      </c>
      <c r="X103" s="4">
        <f t="shared" si="88"/>
        <v>-257.28525247079119</v>
      </c>
      <c r="Y103" s="2" t="b">
        <f>X103&lt;=-$V$128</f>
        <v>1</v>
      </c>
      <c r="Z103" s="1">
        <v>70</v>
      </c>
      <c r="AA103" s="4">
        <f t="shared" si="109"/>
        <v>-19.258064516129039</v>
      </c>
      <c r="AB103" s="4">
        <f t="shared" si="89"/>
        <v>-224.43207826951033</v>
      </c>
      <c r="AC103" s="2" t="b">
        <f>AB103&lt;=-$Z$128</f>
        <v>1</v>
      </c>
      <c r="AD103" s="1">
        <v>73</v>
      </c>
      <c r="AE103" s="4">
        <f t="shared" si="110"/>
        <v>-12.58064516129032</v>
      </c>
      <c r="AF103" s="4">
        <f t="shared" si="90"/>
        <v>-219.23543154695713</v>
      </c>
      <c r="AG103" s="2" t="b">
        <f>AF103&lt;=-$AD$128</f>
        <v>1</v>
      </c>
      <c r="AH103" s="1">
        <v>71</v>
      </c>
      <c r="AI103" s="4">
        <f t="shared" si="111"/>
        <v>-16.838709677419359</v>
      </c>
      <c r="AJ103" s="4">
        <f t="shared" si="91"/>
        <v>-351.0737270298975</v>
      </c>
      <c r="AK103" s="2" t="b">
        <f>AJ103&lt;=-$AH$128</f>
        <v>1</v>
      </c>
      <c r="AL103" s="1">
        <v>77</v>
      </c>
      <c r="AM103" s="4">
        <f t="shared" si="112"/>
        <v>-9.9354838709677438</v>
      </c>
      <c r="AN103" s="4">
        <f t="shared" si="92"/>
        <v>-75.001846857325148</v>
      </c>
      <c r="AO103" s="2" t="b">
        <f>AN103&lt;=-$AL$128</f>
        <v>1</v>
      </c>
      <c r="AP103" s="1">
        <v>80</v>
      </c>
      <c r="AQ103" s="4">
        <f t="shared" si="113"/>
        <v>-10.193548387096769</v>
      </c>
      <c r="AR103" s="4">
        <f t="shared" si="93"/>
        <v>-318.54512590957955</v>
      </c>
      <c r="AS103" s="2" t="b">
        <f>AR103&lt;=-$AP$128</f>
        <v>1</v>
      </c>
      <c r="AT103" s="1">
        <v>81</v>
      </c>
      <c r="AU103" s="4">
        <f t="shared" si="114"/>
        <v>-5.4193548387096797</v>
      </c>
      <c r="AV103" s="4">
        <f t="shared" si="94"/>
        <v>-82.038958311994335</v>
      </c>
      <c r="AW103" s="2" t="b">
        <f>AV103&lt;=-$AT$128</f>
        <v>1</v>
      </c>
      <c r="AX103" s="1">
        <v>77</v>
      </c>
      <c r="AY103" s="4">
        <f t="shared" si="115"/>
        <v>-12.161290322580641</v>
      </c>
      <c r="AZ103" s="4">
        <f t="shared" si="95"/>
        <v>-308.45484034790405</v>
      </c>
      <c r="BA103" s="2" t="b">
        <f>AZ103&lt;=-$AX$128</f>
        <v>1</v>
      </c>
      <c r="BB103" s="1">
        <v>74</v>
      </c>
      <c r="BC103" s="4">
        <f t="shared" si="116"/>
        <v>-12.645161290322577</v>
      </c>
      <c r="BD103" s="4">
        <f t="shared" si="96"/>
        <v>-248.94490605161246</v>
      </c>
      <c r="BE103" s="2" t="b">
        <f>BD103&lt;=-$BB$128</f>
        <v>1</v>
      </c>
      <c r="BF103" s="1">
        <v>86</v>
      </c>
      <c r="BG103" s="4">
        <f t="shared" si="117"/>
        <v>-5.2580645161290391</v>
      </c>
      <c r="BH103" s="4">
        <f t="shared" si="97"/>
        <v>-181.43859957483323</v>
      </c>
      <c r="BI103" s="2" t="b">
        <f>BH103&lt;=-$BF$128</f>
        <v>1</v>
      </c>
      <c r="BJ103" s="1">
        <v>68</v>
      </c>
      <c r="BK103" s="4">
        <f t="shared" si="118"/>
        <v>-23.935483870967744</v>
      </c>
      <c r="BL103" s="4">
        <f t="shared" si="98"/>
        <v>-391.3607077484852</v>
      </c>
      <c r="BM103" s="2" t="b">
        <f>BL103&lt;=-$BJ$128</f>
        <v>1</v>
      </c>
      <c r="BN103" s="1">
        <v>73</v>
      </c>
      <c r="BO103" s="4">
        <f t="shared" si="119"/>
        <v>-21.096774193548384</v>
      </c>
      <c r="BP103" s="4">
        <f t="shared" si="99"/>
        <v>-559.68533979079723</v>
      </c>
      <c r="BQ103" s="2" t="b">
        <f>BP103&lt;=-$BN$128</f>
        <v>1</v>
      </c>
      <c r="BR103" s="1">
        <v>80</v>
      </c>
      <c r="BS103" s="4">
        <f t="shared" si="120"/>
        <v>-4.7096774193548328</v>
      </c>
      <c r="BT103" s="4">
        <f t="shared" si="100"/>
        <v>-96.536472615551645</v>
      </c>
      <c r="BU103" s="2" t="b">
        <f>BT103&lt;=-$BR$128</f>
        <v>1</v>
      </c>
      <c r="BV103" s="1">
        <v>86</v>
      </c>
      <c r="BW103" s="2">
        <f t="shared" si="121"/>
        <v>-0.6129032258064484</v>
      </c>
      <c r="BX103" s="4">
        <f t="shared" si="101"/>
        <v>-123.16418879648917</v>
      </c>
      <c r="BY103" s="2" t="b">
        <f>BX103&lt;=-$BV$128</f>
        <v>1</v>
      </c>
      <c r="BZ103" s="1">
        <v>71</v>
      </c>
      <c r="CA103" s="2">
        <f t="shared" si="122"/>
        <v>-19.064516129032256</v>
      </c>
      <c r="CB103" s="4">
        <f t="shared" si="102"/>
        <v>-393.97995661956475</v>
      </c>
      <c r="CC103" s="2" t="b">
        <f>CB103&lt;=-$BZ$128</f>
        <v>1</v>
      </c>
    </row>
    <row r="104" spans="1:81" x14ac:dyDescent="0.2">
      <c r="A104" s="3">
        <v>45941</v>
      </c>
      <c r="B104" s="1">
        <v>69</v>
      </c>
      <c r="C104" s="2">
        <f t="shared" si="103"/>
        <v>-22.193548387096769</v>
      </c>
      <c r="D104" s="4">
        <f t="shared" si="83"/>
        <v>-455.66795844759054</v>
      </c>
      <c r="E104" s="2" t="b">
        <f>D104&lt;=-$B$128</f>
        <v>1</v>
      </c>
      <c r="F104" s="1">
        <v>82</v>
      </c>
      <c r="G104" s="4">
        <f t="shared" si="104"/>
        <v>-5.2580645161290391</v>
      </c>
      <c r="H104" s="4">
        <f t="shared" si="84"/>
        <v>-165.89183193153451</v>
      </c>
      <c r="I104" s="2" t="b">
        <f>H104&lt;=-$F$128</f>
        <v>1</v>
      </c>
      <c r="J104" s="1">
        <v>78</v>
      </c>
      <c r="K104" s="4">
        <f t="shared" si="105"/>
        <v>-11.709677419354833</v>
      </c>
      <c r="L104" s="4">
        <f t="shared" si="85"/>
        <v>-298.73808958551945</v>
      </c>
      <c r="M104" s="2" t="b">
        <f>L104&lt;=-$J$128</f>
        <v>1</v>
      </c>
      <c r="N104" s="1">
        <v>73</v>
      </c>
      <c r="O104" s="4">
        <f t="shared" si="106"/>
        <v>-14.645161290322577</v>
      </c>
      <c r="P104" s="4">
        <f t="shared" si="86"/>
        <v>-229.60253336568482</v>
      </c>
      <c r="Q104" s="2" t="b">
        <f>P104&lt;=-$N$128</f>
        <v>1</v>
      </c>
      <c r="R104" s="1">
        <v>71</v>
      </c>
      <c r="S104" s="4">
        <f t="shared" si="107"/>
        <v>-20.741935483870961</v>
      </c>
      <c r="T104" s="4">
        <f t="shared" si="87"/>
        <v>-513.49465665999276</v>
      </c>
      <c r="U104" s="2" t="b">
        <f>T104&lt;=-$R$128</f>
        <v>1</v>
      </c>
      <c r="V104" s="1">
        <v>75</v>
      </c>
      <c r="W104" s="4">
        <f t="shared" si="108"/>
        <v>-11.741935483870961</v>
      </c>
      <c r="X104" s="4">
        <f t="shared" si="88"/>
        <v>-267.72355366330919</v>
      </c>
      <c r="Y104" s="2" t="b">
        <f>X104&lt;=-$V$128</f>
        <v>1</v>
      </c>
      <c r="Z104" s="1">
        <v>78</v>
      </c>
      <c r="AA104" s="4">
        <f t="shared" si="109"/>
        <v>-11.258064516129039</v>
      </c>
      <c r="AB104" s="4">
        <f t="shared" si="89"/>
        <v>-233.81945778661054</v>
      </c>
      <c r="AC104" s="2" t="b">
        <f>AB104&lt;=-$Z$128</f>
        <v>1</v>
      </c>
      <c r="AD104" s="1">
        <v>66</v>
      </c>
      <c r="AE104" s="4">
        <f t="shared" si="110"/>
        <v>-19.58064516129032</v>
      </c>
      <c r="AF104" s="4">
        <f t="shared" si="90"/>
        <v>-237.07072959115592</v>
      </c>
      <c r="AG104" s="2" t="b">
        <f>AF104&lt;=-$AD$128</f>
        <v>1</v>
      </c>
      <c r="AH104" s="1">
        <v>77</v>
      </c>
      <c r="AI104" s="4">
        <f t="shared" si="111"/>
        <v>-10.838709677419359</v>
      </c>
      <c r="AJ104" s="4">
        <f t="shared" si="91"/>
        <v>-360.36272289398681</v>
      </c>
      <c r="AK104" s="2" t="b">
        <f>AJ104&lt;=-$AH$128</f>
        <v>1</v>
      </c>
      <c r="AL104" s="1">
        <v>82</v>
      </c>
      <c r="AM104" s="4">
        <f t="shared" si="112"/>
        <v>-4.9354838709677438</v>
      </c>
      <c r="AN104" s="4">
        <f t="shared" si="92"/>
        <v>-77.735303314480163</v>
      </c>
      <c r="AO104" s="2" t="b">
        <f>AN104&lt;=-$AL$128</f>
        <v>1</v>
      </c>
      <c r="AP104" s="1">
        <v>80</v>
      </c>
      <c r="AQ104" s="4">
        <f t="shared" si="113"/>
        <v>-10.193548387096769</v>
      </c>
      <c r="AR104" s="4">
        <f t="shared" si="93"/>
        <v>-326.61963617039231</v>
      </c>
      <c r="AS104" s="2" t="b">
        <f>AR104&lt;=-$AP$128</f>
        <v>1</v>
      </c>
      <c r="AT104" s="1">
        <v>67</v>
      </c>
      <c r="AU104" s="4">
        <f t="shared" si="114"/>
        <v>-19.41935483870968</v>
      </c>
      <c r="AV104" s="4">
        <f t="shared" si="94"/>
        <v>-99.781141953179315</v>
      </c>
      <c r="AW104" s="2" t="b">
        <f>AV104&lt;=-$AT$128</f>
        <v>1</v>
      </c>
      <c r="AX104" s="1">
        <v>78</v>
      </c>
      <c r="AY104" s="4">
        <f t="shared" si="115"/>
        <v>-11.161290322580641</v>
      </c>
      <c r="AZ104" s="4">
        <f t="shared" si="95"/>
        <v>-318.24319722834008</v>
      </c>
      <c r="BA104" s="2" t="b">
        <f>AZ104&lt;=-$AX$128</f>
        <v>1</v>
      </c>
      <c r="BB104" s="1">
        <v>77</v>
      </c>
      <c r="BC104" s="4">
        <f t="shared" si="116"/>
        <v>-9.6451612903225765</v>
      </c>
      <c r="BD104" s="4">
        <f t="shared" si="96"/>
        <v>-256.74368174164829</v>
      </c>
      <c r="BE104" s="2" t="b">
        <f>BD104&lt;=-$BB$128</f>
        <v>1</v>
      </c>
      <c r="BF104" s="1">
        <v>86</v>
      </c>
      <c r="BG104" s="4">
        <f t="shared" si="117"/>
        <v>-5.2580645161290391</v>
      </c>
      <c r="BH104" s="4">
        <f t="shared" si="97"/>
        <v>-184.66783954648878</v>
      </c>
      <c r="BI104" s="2" t="b">
        <f>BH104&lt;=-$BF$128</f>
        <v>1</v>
      </c>
      <c r="BJ104" s="1">
        <v>65</v>
      </c>
      <c r="BK104" s="4">
        <f t="shared" si="118"/>
        <v>-26.935483870967744</v>
      </c>
      <c r="BL104" s="4">
        <f t="shared" si="98"/>
        <v>-416.55964579574157</v>
      </c>
      <c r="BM104" s="2" t="b">
        <f>BL104&lt;=-$BJ$128</f>
        <v>1</v>
      </c>
      <c r="BN104" s="1">
        <v>75</v>
      </c>
      <c r="BO104" s="4">
        <f t="shared" si="119"/>
        <v>-19.096774193548384</v>
      </c>
      <c r="BP104" s="4">
        <f t="shared" si="99"/>
        <v>-576.4895359641913</v>
      </c>
      <c r="BQ104" s="2" t="b">
        <f>BP104&lt;=-$BN$128</f>
        <v>1</v>
      </c>
      <c r="BR104" s="1">
        <v>79</v>
      </c>
      <c r="BS104" s="4">
        <f t="shared" si="120"/>
        <v>-5.7096774193548328</v>
      </c>
      <c r="BT104" s="4">
        <f t="shared" si="100"/>
        <v>-100.30882564119963</v>
      </c>
      <c r="BU104" s="2" t="b">
        <f>BT104&lt;=-$BR$128</f>
        <v>1</v>
      </c>
      <c r="BV104" s="1">
        <v>86</v>
      </c>
      <c r="BW104" s="2">
        <f t="shared" si="121"/>
        <v>-0.6129032258064484</v>
      </c>
      <c r="BX104" s="4">
        <f t="shared" si="101"/>
        <v>-121.98508467784062</v>
      </c>
      <c r="BY104" s="2" t="b">
        <f>BX104&lt;=-$BV$128</f>
        <v>1</v>
      </c>
      <c r="BZ104" s="1">
        <v>73</v>
      </c>
      <c r="CA104" s="2">
        <f t="shared" si="122"/>
        <v>-17.064516129032256</v>
      </c>
      <c r="CB104" s="4">
        <f t="shared" si="102"/>
        <v>-409.26526185669871</v>
      </c>
      <c r="CC104" s="2" t="b">
        <f>CB104&lt;=-$BZ$128</f>
        <v>1</v>
      </c>
    </row>
    <row r="105" spans="1:81" x14ac:dyDescent="0.2">
      <c r="A105" s="3">
        <v>45942</v>
      </c>
      <c r="B105" s="1">
        <v>69</v>
      </c>
      <c r="C105" s="2">
        <f t="shared" si="103"/>
        <v>-22.193548387096769</v>
      </c>
      <c r="D105" s="4">
        <f t="shared" si="83"/>
        <v>-475.41059083300308</v>
      </c>
      <c r="E105" s="2" t="b">
        <f>D105&lt;=-$B$128</f>
        <v>1</v>
      </c>
      <c r="F105" s="1">
        <v>79</v>
      </c>
      <c r="G105" s="4">
        <f t="shared" si="104"/>
        <v>-8.2580645161290391</v>
      </c>
      <c r="H105" s="4">
        <f t="shared" si="84"/>
        <v>-171.93642352811122</v>
      </c>
      <c r="I105" s="2" t="b">
        <f>H105&lt;=-$F$128</f>
        <v>1</v>
      </c>
      <c r="J105" s="1">
        <v>78</v>
      </c>
      <c r="K105" s="4">
        <f t="shared" si="105"/>
        <v>-11.709677419354833</v>
      </c>
      <c r="L105" s="4">
        <f t="shared" si="85"/>
        <v>-308.92464768153866</v>
      </c>
      <c r="M105" s="2" t="b">
        <f>L105&lt;=-$J$128</f>
        <v>1</v>
      </c>
      <c r="N105" s="1">
        <v>70</v>
      </c>
      <c r="O105" s="4">
        <f t="shared" si="106"/>
        <v>-17.645161290322577</v>
      </c>
      <c r="P105" s="4">
        <f t="shared" si="86"/>
        <v>-244.35647695667271</v>
      </c>
      <c r="Q105" s="2" t="b">
        <f>P105&lt;=-$N$128</f>
        <v>1</v>
      </c>
      <c r="R105" s="1">
        <v>73</v>
      </c>
      <c r="S105" s="4">
        <f t="shared" si="107"/>
        <v>-18.741935483870961</v>
      </c>
      <c r="T105" s="4">
        <f t="shared" si="87"/>
        <v>-529.48290448929492</v>
      </c>
      <c r="U105" s="2" t="b">
        <f>T105&lt;=-$R$128</f>
        <v>1</v>
      </c>
      <c r="V105" s="1">
        <v>78</v>
      </c>
      <c r="W105" s="4">
        <f t="shared" si="108"/>
        <v>-8.7419354838709609</v>
      </c>
      <c r="X105" s="4">
        <f t="shared" si="88"/>
        <v>-275.16185485582719</v>
      </c>
      <c r="Y105" s="2" t="b">
        <f>X105&lt;=-$V$128</f>
        <v>1</v>
      </c>
      <c r="Z105" s="1">
        <v>84</v>
      </c>
      <c r="AA105" s="4">
        <f t="shared" si="109"/>
        <v>-5.2580645161290391</v>
      </c>
      <c r="AB105" s="4">
        <f t="shared" si="89"/>
        <v>-237.20683730371076</v>
      </c>
      <c r="AC105" s="2" t="b">
        <f>AB105&lt;=-$Z$128</f>
        <v>1</v>
      </c>
      <c r="AD105" s="1">
        <v>78</v>
      </c>
      <c r="AE105" s="4">
        <f t="shared" si="110"/>
        <v>-7.5806451612903203</v>
      </c>
      <c r="AF105" s="4">
        <f t="shared" si="90"/>
        <v>-242.90602763535472</v>
      </c>
      <c r="AG105" s="2" t="b">
        <f>AF105&lt;=-$AD$128</f>
        <v>1</v>
      </c>
      <c r="AH105" s="1">
        <v>73</v>
      </c>
      <c r="AI105" s="4">
        <f t="shared" si="111"/>
        <v>-14.838709677419359</v>
      </c>
      <c r="AJ105" s="4">
        <f t="shared" si="91"/>
        <v>-373.65171875807613</v>
      </c>
      <c r="AK105" s="2" t="b">
        <f>AJ105&lt;=-$AH$128</f>
        <v>1</v>
      </c>
      <c r="AL105" s="1">
        <v>74</v>
      </c>
      <c r="AM105" s="4">
        <f t="shared" si="112"/>
        <v>-12.935483870967744</v>
      </c>
      <c r="AN105" s="4">
        <f t="shared" si="92"/>
        <v>-88.468759771635177</v>
      </c>
      <c r="AO105" s="2" t="b">
        <f>AN105&lt;=-$AL$128</f>
        <v>1</v>
      </c>
      <c r="AP105" s="1">
        <v>71</v>
      </c>
      <c r="AQ105" s="4">
        <f t="shared" si="113"/>
        <v>-19.193548387096769</v>
      </c>
      <c r="AR105" s="4">
        <f t="shared" si="93"/>
        <v>-343.69414643120507</v>
      </c>
      <c r="AS105" s="2" t="b">
        <f>AR105&lt;=-$AP$128</f>
        <v>1</v>
      </c>
      <c r="AT105" s="1">
        <v>72</v>
      </c>
      <c r="AU105" s="4">
        <f t="shared" si="114"/>
        <v>-14.41935483870968</v>
      </c>
      <c r="AV105" s="4">
        <f t="shared" si="94"/>
        <v>-112.52332559436429</v>
      </c>
      <c r="AW105" s="2" t="b">
        <f>AV105&lt;=-$AT$128</f>
        <v>1</v>
      </c>
      <c r="AX105" s="1">
        <v>77</v>
      </c>
      <c r="AY105" s="4">
        <f t="shared" si="115"/>
        <v>-12.161290322580641</v>
      </c>
      <c r="AZ105" s="4">
        <f t="shared" si="95"/>
        <v>-329.03155410877611</v>
      </c>
      <c r="BA105" s="2" t="b">
        <f>AZ105&lt;=-$AX$128</f>
        <v>1</v>
      </c>
      <c r="BB105" s="1">
        <v>66</v>
      </c>
      <c r="BC105" s="4">
        <f t="shared" si="116"/>
        <v>-20.645161290322577</v>
      </c>
      <c r="BD105" s="4">
        <f t="shared" si="96"/>
        <v>-275.54245743168411</v>
      </c>
      <c r="BE105" s="2" t="b">
        <f>BD105&lt;=-$BB$128</f>
        <v>1</v>
      </c>
      <c r="BF105" s="1">
        <v>80</v>
      </c>
      <c r="BG105" s="4">
        <f t="shared" si="117"/>
        <v>-11.258064516129039</v>
      </c>
      <c r="BH105" s="4">
        <f t="shared" si="97"/>
        <v>-193.89707951814432</v>
      </c>
      <c r="BI105" s="2" t="b">
        <f>BH105&lt;=-$BF$128</f>
        <v>1</v>
      </c>
      <c r="BJ105" s="1">
        <v>73</v>
      </c>
      <c r="BK105" s="4">
        <f t="shared" si="118"/>
        <v>-18.935483870967744</v>
      </c>
      <c r="BL105" s="4">
        <f t="shared" si="98"/>
        <v>-433.75858384299795</v>
      </c>
      <c r="BM105" s="2" t="b">
        <f>BL105&lt;=-$BJ$128</f>
        <v>1</v>
      </c>
      <c r="BN105" s="1">
        <v>79</v>
      </c>
      <c r="BO105" s="4">
        <f t="shared" si="119"/>
        <v>-15.096774193548384</v>
      </c>
      <c r="BP105" s="4">
        <f t="shared" si="99"/>
        <v>-589.29373213758538</v>
      </c>
      <c r="BQ105" s="2" t="b">
        <f>BP105&lt;=-$BN$128</f>
        <v>1</v>
      </c>
      <c r="BR105" s="1">
        <v>81</v>
      </c>
      <c r="BS105" s="4">
        <f t="shared" si="120"/>
        <v>-3.7096774193548328</v>
      </c>
      <c r="BT105" s="4">
        <f t="shared" si="100"/>
        <v>-102.08117866684762</v>
      </c>
      <c r="BU105" s="2" t="b">
        <f>BT105&lt;=-$BR$128</f>
        <v>1</v>
      </c>
      <c r="BV105" s="1">
        <v>85</v>
      </c>
      <c r="BW105" s="2">
        <f t="shared" si="121"/>
        <v>-1.6129032258064484</v>
      </c>
      <c r="BX105" s="4">
        <f t="shared" si="101"/>
        <v>-121.80598055919207</v>
      </c>
      <c r="BY105" s="2" t="b">
        <f>BX105&lt;=-$BV$128</f>
        <v>1</v>
      </c>
      <c r="BZ105" s="1">
        <v>76</v>
      </c>
      <c r="CA105" s="2">
        <f t="shared" si="122"/>
        <v>-14.064516129032256</v>
      </c>
      <c r="CB105" s="4">
        <f t="shared" si="102"/>
        <v>-421.55056709383268</v>
      </c>
      <c r="CC105" s="2" t="b">
        <f>CB105&lt;=-$BZ$128</f>
        <v>1</v>
      </c>
    </row>
    <row r="106" spans="1:81" x14ac:dyDescent="0.2">
      <c r="A106" s="3">
        <v>45943</v>
      </c>
      <c r="B106" s="1">
        <v>73</v>
      </c>
      <c r="C106" s="2">
        <f t="shared" si="103"/>
        <v>-18.193548387096769</v>
      </c>
      <c r="D106" s="4">
        <f t="shared" si="83"/>
        <v>-491.15322321841563</v>
      </c>
      <c r="E106" s="2" t="b">
        <f>D106&lt;=-$B$128</f>
        <v>1</v>
      </c>
      <c r="F106" s="1">
        <v>80</v>
      </c>
      <c r="G106" s="4">
        <f t="shared" si="104"/>
        <v>-7.2580645161290391</v>
      </c>
      <c r="H106" s="4">
        <f t="shared" si="84"/>
        <v>-176.98101512468793</v>
      </c>
      <c r="I106" s="2" t="b">
        <f>H106&lt;=-$F$128</f>
        <v>1</v>
      </c>
      <c r="J106" s="1">
        <v>78</v>
      </c>
      <c r="K106" s="4">
        <f t="shared" si="105"/>
        <v>-11.709677419354833</v>
      </c>
      <c r="L106" s="4">
        <f t="shared" si="85"/>
        <v>-319.11120577755787</v>
      </c>
      <c r="M106" s="2" t="b">
        <f>L106&lt;=-$J$128</f>
        <v>1</v>
      </c>
      <c r="N106" s="1">
        <v>64</v>
      </c>
      <c r="O106" s="4">
        <f t="shared" si="106"/>
        <v>-23.645161290322577</v>
      </c>
      <c r="P106" s="4">
        <f t="shared" si="86"/>
        <v>-265.11042054766062</v>
      </c>
      <c r="Q106" s="2" t="b">
        <f>P106&lt;=-$N$128</f>
        <v>1</v>
      </c>
      <c r="R106" s="1">
        <v>75</v>
      </c>
      <c r="S106" s="4">
        <f t="shared" si="107"/>
        <v>-16.741935483870961</v>
      </c>
      <c r="T106" s="4">
        <f t="shared" si="87"/>
        <v>-543.47115231859709</v>
      </c>
      <c r="U106" s="2" t="b">
        <f>T106&lt;=-$R$128</f>
        <v>1</v>
      </c>
      <c r="V106" s="1">
        <v>78</v>
      </c>
      <c r="W106" s="4">
        <f t="shared" si="108"/>
        <v>-8.7419354838709609</v>
      </c>
      <c r="X106" s="4">
        <f t="shared" si="88"/>
        <v>-282.60015604834518</v>
      </c>
      <c r="Y106" s="2" t="b">
        <f>X106&lt;=-$V$128</f>
        <v>1</v>
      </c>
      <c r="Z106" s="1">
        <v>79</v>
      </c>
      <c r="AA106" s="4">
        <f t="shared" si="109"/>
        <v>-10.258064516129039</v>
      </c>
      <c r="AB106" s="4">
        <f t="shared" si="89"/>
        <v>-245.59421682081097</v>
      </c>
      <c r="AC106" s="2" t="b">
        <f>AB106&lt;=-$Z$128</f>
        <v>1</v>
      </c>
      <c r="AD106" s="1">
        <v>78</v>
      </c>
      <c r="AE106" s="4">
        <f t="shared" si="110"/>
        <v>-7.5806451612903203</v>
      </c>
      <c r="AF106" s="4">
        <f t="shared" si="90"/>
        <v>-248.74132567955351</v>
      </c>
      <c r="AG106" s="2" t="b">
        <f>AF106&lt;=-$AD$128</f>
        <v>1</v>
      </c>
      <c r="AH106" s="1">
        <v>64</v>
      </c>
      <c r="AI106" s="4">
        <f t="shared" si="111"/>
        <v>-23.838709677419359</v>
      </c>
      <c r="AJ106" s="4">
        <f t="shared" si="91"/>
        <v>-395.94071462216544</v>
      </c>
      <c r="AK106" s="2" t="b">
        <f>AJ106&lt;=-$AH$128</f>
        <v>1</v>
      </c>
      <c r="AL106" s="1">
        <v>77</v>
      </c>
      <c r="AM106" s="4">
        <f t="shared" si="112"/>
        <v>-9.9354838709677438</v>
      </c>
      <c r="AN106" s="4">
        <f t="shared" si="92"/>
        <v>-96.202216228790192</v>
      </c>
      <c r="AO106" s="2" t="b">
        <f>AN106&lt;=-$AL$128</f>
        <v>1</v>
      </c>
      <c r="AP106" s="1">
        <v>62</v>
      </c>
      <c r="AQ106" s="4">
        <f t="shared" si="113"/>
        <v>-28.193548387096769</v>
      </c>
      <c r="AR106" s="4">
        <f t="shared" si="93"/>
        <v>-369.76865669201783</v>
      </c>
      <c r="AS106" s="2" t="b">
        <f>AR106&lt;=-$AP$128</f>
        <v>1</v>
      </c>
      <c r="AT106" s="1">
        <v>74</v>
      </c>
      <c r="AU106" s="4">
        <f t="shared" si="114"/>
        <v>-12.41935483870968</v>
      </c>
      <c r="AV106" s="4">
        <f t="shared" si="94"/>
        <v>-123.26550923554927</v>
      </c>
      <c r="AW106" s="2" t="b">
        <f>AV106&lt;=-$AT$128</f>
        <v>1</v>
      </c>
      <c r="AX106" s="1">
        <v>77</v>
      </c>
      <c r="AY106" s="4">
        <f t="shared" si="115"/>
        <v>-12.161290322580641</v>
      </c>
      <c r="AZ106" s="4">
        <f t="shared" si="95"/>
        <v>-339.81991098921213</v>
      </c>
      <c r="BA106" s="2" t="b">
        <f>AZ106&lt;=-$AX$128</f>
        <v>1</v>
      </c>
      <c r="BB106" s="1">
        <v>73</v>
      </c>
      <c r="BC106" s="4">
        <f t="shared" si="116"/>
        <v>-13.645161290322577</v>
      </c>
      <c r="BD106" s="4">
        <f t="shared" si="96"/>
        <v>-287.34123312171994</v>
      </c>
      <c r="BE106" s="2" t="b">
        <f>BD106&lt;=-$BB$128</f>
        <v>1</v>
      </c>
      <c r="BF106" s="1">
        <v>80</v>
      </c>
      <c r="BG106" s="4">
        <f t="shared" si="117"/>
        <v>-11.258064516129039</v>
      </c>
      <c r="BH106" s="4">
        <f t="shared" si="97"/>
        <v>-203.12631948979987</v>
      </c>
      <c r="BI106" s="2" t="b">
        <f>BH106&lt;=-$BF$128</f>
        <v>1</v>
      </c>
      <c r="BJ106" s="1">
        <v>74</v>
      </c>
      <c r="BK106" s="4">
        <f t="shared" si="118"/>
        <v>-17.935483870967744</v>
      </c>
      <c r="BL106" s="4">
        <f t="shared" si="98"/>
        <v>-449.95752189025433</v>
      </c>
      <c r="BM106" s="2" t="b">
        <f>BL106&lt;=-$BJ$128</f>
        <v>1</v>
      </c>
      <c r="BN106" s="1">
        <v>75</v>
      </c>
      <c r="BO106" s="4">
        <f t="shared" si="119"/>
        <v>-19.096774193548384</v>
      </c>
      <c r="BP106" s="4">
        <f t="shared" si="99"/>
        <v>-606.09792831097946</v>
      </c>
      <c r="BQ106" s="2" t="b">
        <f>BP106&lt;=-$BN$128</f>
        <v>1</v>
      </c>
      <c r="BR106" s="1">
        <v>82</v>
      </c>
      <c r="BS106" s="4">
        <f t="shared" si="120"/>
        <v>-2.7096774193548328</v>
      </c>
      <c r="BT106" s="4">
        <f t="shared" si="100"/>
        <v>-102.85353169249561</v>
      </c>
      <c r="BU106" s="2" t="b">
        <f>BT106&lt;=-$BR$128</f>
        <v>1</v>
      </c>
      <c r="BV106" s="1">
        <v>85</v>
      </c>
      <c r="BW106" s="2">
        <f t="shared" si="121"/>
        <v>-1.6129032258064484</v>
      </c>
      <c r="BX106" s="4">
        <f t="shared" si="101"/>
        <v>-121.62687644054351</v>
      </c>
      <c r="BY106" s="2" t="b">
        <f>BX106&lt;=-$BV$128</f>
        <v>1</v>
      </c>
      <c r="BZ106" s="1">
        <v>81</v>
      </c>
      <c r="CA106" s="2">
        <f t="shared" si="122"/>
        <v>-9.0645161290322562</v>
      </c>
      <c r="CB106" s="4">
        <f t="shared" si="102"/>
        <v>-428.83587233096665</v>
      </c>
      <c r="CC106" s="2" t="b">
        <f>CB106&lt;=-$BZ$128</f>
        <v>1</v>
      </c>
    </row>
    <row r="107" spans="1:81" x14ac:dyDescent="0.2">
      <c r="A107" s="3">
        <v>45944</v>
      </c>
      <c r="B107" s="1">
        <v>79</v>
      </c>
      <c r="C107" s="2">
        <f t="shared" si="103"/>
        <v>-12.193548387096769</v>
      </c>
      <c r="D107" s="4">
        <f t="shared" si="83"/>
        <v>-500.89585560382818</v>
      </c>
      <c r="E107" s="2" t="b">
        <f>D107&lt;=-$B$128</f>
        <v>1</v>
      </c>
      <c r="F107" s="1">
        <v>68</v>
      </c>
      <c r="G107" s="4">
        <f t="shared" si="104"/>
        <v>-19.258064516129039</v>
      </c>
      <c r="H107" s="4">
        <f t="shared" si="84"/>
        <v>-194.02560672126464</v>
      </c>
      <c r="I107" s="2" t="b">
        <f>H107&lt;=-$F$128</f>
        <v>1</v>
      </c>
      <c r="J107" s="1">
        <v>75</v>
      </c>
      <c r="K107" s="4">
        <f t="shared" si="105"/>
        <v>-14.709677419354833</v>
      </c>
      <c r="L107" s="4">
        <f t="shared" si="85"/>
        <v>-332.29776387357708</v>
      </c>
      <c r="M107" s="2" t="b">
        <f>L107&lt;=-$J$128</f>
        <v>1</v>
      </c>
      <c r="N107" s="1">
        <v>75</v>
      </c>
      <c r="O107" s="4">
        <f t="shared" si="106"/>
        <v>-12.645161290322577</v>
      </c>
      <c r="P107" s="4">
        <f t="shared" si="86"/>
        <v>-274.86436413864851</v>
      </c>
      <c r="Q107" s="2" t="b">
        <f>P107&lt;=-$N$128</f>
        <v>1</v>
      </c>
      <c r="R107" s="1">
        <v>75</v>
      </c>
      <c r="S107" s="4">
        <f t="shared" si="107"/>
        <v>-16.741935483870961</v>
      </c>
      <c r="T107" s="4">
        <f t="shared" si="87"/>
        <v>-557.45940014789926</v>
      </c>
      <c r="U107" s="2" t="b">
        <f>T107&lt;=-$R$128</f>
        <v>1</v>
      </c>
      <c r="V107" s="1">
        <v>75</v>
      </c>
      <c r="W107" s="4">
        <f t="shared" si="108"/>
        <v>-11.741935483870961</v>
      </c>
      <c r="X107" s="4">
        <f t="shared" si="88"/>
        <v>-293.03845724086318</v>
      </c>
      <c r="Y107" s="2" t="b">
        <f>X107&lt;=-$V$128</f>
        <v>1</v>
      </c>
      <c r="Z107" s="1">
        <v>68</v>
      </c>
      <c r="AA107" s="4">
        <f t="shared" si="109"/>
        <v>-21.258064516129039</v>
      </c>
      <c r="AB107" s="4">
        <f t="shared" si="89"/>
        <v>-264.98159633791118</v>
      </c>
      <c r="AC107" s="2" t="b">
        <f>AB107&lt;=-$Z$128</f>
        <v>1</v>
      </c>
      <c r="AD107" s="1">
        <v>78</v>
      </c>
      <c r="AE107" s="4">
        <f t="shared" si="110"/>
        <v>-7.5806451612903203</v>
      </c>
      <c r="AF107" s="4">
        <f t="shared" si="90"/>
        <v>-254.57662372375231</v>
      </c>
      <c r="AG107" s="2" t="b">
        <f>AF107&lt;=-$AD$128</f>
        <v>1</v>
      </c>
      <c r="AH107" s="1">
        <v>63</v>
      </c>
      <c r="AI107" s="4">
        <f t="shared" si="111"/>
        <v>-24.838709677419359</v>
      </c>
      <c r="AJ107" s="4">
        <f t="shared" si="91"/>
        <v>-419.22971048625476</v>
      </c>
      <c r="AK107" s="2" t="b">
        <f>AJ107&lt;=-$AH$128</f>
        <v>1</v>
      </c>
      <c r="AL107" s="1">
        <v>78</v>
      </c>
      <c r="AM107" s="4">
        <f t="shared" si="112"/>
        <v>-8.9354838709677438</v>
      </c>
      <c r="AN107" s="4">
        <f t="shared" si="92"/>
        <v>-102.93567268594521</v>
      </c>
      <c r="AO107" s="2" t="b">
        <f>AN107&lt;=-$AL$128</f>
        <v>1</v>
      </c>
      <c r="AP107" s="1">
        <v>69</v>
      </c>
      <c r="AQ107" s="4">
        <f t="shared" si="113"/>
        <v>-21.193548387096769</v>
      </c>
      <c r="AR107" s="4">
        <f t="shared" si="93"/>
        <v>-388.84316695283059</v>
      </c>
      <c r="AS107" s="2" t="b">
        <f>AR107&lt;=-$AP$128</f>
        <v>1</v>
      </c>
      <c r="AT107" s="1">
        <v>78</v>
      </c>
      <c r="AU107" s="4">
        <f t="shared" si="114"/>
        <v>-8.4193548387096797</v>
      </c>
      <c r="AV107" s="4">
        <f t="shared" si="94"/>
        <v>-130.00769287673424</v>
      </c>
      <c r="AW107" s="2" t="b">
        <f>AV107&lt;=-$AT$128</f>
        <v>1</v>
      </c>
      <c r="AX107" s="1">
        <v>80</v>
      </c>
      <c r="AY107" s="4">
        <f t="shared" si="115"/>
        <v>-9.1612903225806406</v>
      </c>
      <c r="AZ107" s="4">
        <f t="shared" si="95"/>
        <v>-347.60826786964816</v>
      </c>
      <c r="BA107" s="2" t="b">
        <f>AZ107&lt;=-$AX$128</f>
        <v>1</v>
      </c>
      <c r="BB107" s="1">
        <v>66</v>
      </c>
      <c r="BC107" s="4">
        <f t="shared" si="116"/>
        <v>-20.645161290322577</v>
      </c>
      <c r="BD107" s="4">
        <f t="shared" si="96"/>
        <v>-306.14000881175576</v>
      </c>
      <c r="BE107" s="2" t="b">
        <f>BD107&lt;=-$BB$128</f>
        <v>1</v>
      </c>
      <c r="BF107" s="1">
        <v>73</v>
      </c>
      <c r="BG107" s="4">
        <f t="shared" si="117"/>
        <v>-18.258064516129039</v>
      </c>
      <c r="BH107" s="4">
        <f t="shared" si="97"/>
        <v>-219.35555946145541</v>
      </c>
      <c r="BI107" s="2" t="b">
        <f>BH107&lt;=-$BF$128</f>
        <v>1</v>
      </c>
      <c r="BJ107" s="1">
        <v>77</v>
      </c>
      <c r="BK107" s="4">
        <f t="shared" si="118"/>
        <v>-14.935483870967744</v>
      </c>
      <c r="BL107" s="4">
        <f t="shared" si="98"/>
        <v>-463.1564599375107</v>
      </c>
      <c r="BM107" s="2" t="b">
        <f>BL107&lt;=-$BJ$128</f>
        <v>1</v>
      </c>
      <c r="BN107" s="1">
        <v>77</v>
      </c>
      <c r="BO107" s="4">
        <f t="shared" si="119"/>
        <v>-17.096774193548384</v>
      </c>
      <c r="BP107" s="4">
        <f t="shared" si="99"/>
        <v>-620.90212448437353</v>
      </c>
      <c r="BQ107" s="2" t="b">
        <f>BP107&lt;=-$BN$128</f>
        <v>1</v>
      </c>
      <c r="BR107" s="1">
        <v>77</v>
      </c>
      <c r="BS107" s="4">
        <f t="shared" si="120"/>
        <v>-7.7096774193548328</v>
      </c>
      <c r="BT107" s="4">
        <f t="shared" si="100"/>
        <v>-108.6258847181436</v>
      </c>
      <c r="BU107" s="2" t="b">
        <f>BT107&lt;=-$BR$128</f>
        <v>1</v>
      </c>
      <c r="BV107" s="1">
        <v>75</v>
      </c>
      <c r="BW107" s="2">
        <f t="shared" si="121"/>
        <v>-11.612903225806448</v>
      </c>
      <c r="BX107" s="4">
        <f t="shared" si="101"/>
        <v>-131.44777232189497</v>
      </c>
      <c r="BY107" s="2" t="b">
        <f>BX107&lt;=-$BV$128</f>
        <v>1</v>
      </c>
      <c r="BZ107" s="1">
        <v>78</v>
      </c>
      <c r="CA107" s="2">
        <f t="shared" si="122"/>
        <v>-12.064516129032256</v>
      </c>
      <c r="CB107" s="4">
        <f t="shared" si="102"/>
        <v>-439.12117756810062</v>
      </c>
      <c r="CC107" s="2" t="b">
        <f>CB107&lt;=-$BZ$128</f>
        <v>1</v>
      </c>
    </row>
    <row r="108" spans="1:81" x14ac:dyDescent="0.2">
      <c r="A108" s="3">
        <v>45945</v>
      </c>
      <c r="B108" s="1">
        <v>81</v>
      </c>
      <c r="C108" s="2">
        <f t="shared" si="103"/>
        <v>-10.193548387096769</v>
      </c>
      <c r="D108" s="4">
        <f t="shared" si="83"/>
        <v>-508.63848798924073</v>
      </c>
      <c r="E108" s="2" t="b">
        <f>D108&lt;=-$B$128</f>
        <v>1</v>
      </c>
      <c r="F108" s="1">
        <v>63</v>
      </c>
      <c r="G108" s="4">
        <f t="shared" si="104"/>
        <v>-24.258064516129039</v>
      </c>
      <c r="H108" s="4">
        <f t="shared" si="84"/>
        <v>-216.07019831784135</v>
      </c>
      <c r="I108" s="2" t="b">
        <f>H108&lt;=-$F$128</f>
        <v>1</v>
      </c>
      <c r="J108" s="1">
        <v>79</v>
      </c>
      <c r="K108" s="4">
        <f t="shared" si="105"/>
        <v>-10.709677419354833</v>
      </c>
      <c r="L108" s="4">
        <f t="shared" si="85"/>
        <v>-341.48432196959629</v>
      </c>
      <c r="M108" s="2" t="b">
        <f>L108&lt;=-$J$128</f>
        <v>1</v>
      </c>
      <c r="N108" s="1">
        <v>73</v>
      </c>
      <c r="O108" s="4">
        <f t="shared" si="106"/>
        <v>-14.645161290322577</v>
      </c>
      <c r="P108" s="4">
        <f t="shared" si="86"/>
        <v>-286.6183077296364</v>
      </c>
      <c r="Q108" s="2" t="b">
        <f>P108&lt;=-$N$128</f>
        <v>1</v>
      </c>
      <c r="R108" s="1">
        <v>77</v>
      </c>
      <c r="S108" s="4">
        <f t="shared" si="107"/>
        <v>-14.741935483870961</v>
      </c>
      <c r="T108" s="4">
        <f t="shared" si="87"/>
        <v>-569.44764797720143</v>
      </c>
      <c r="U108" s="2" t="b">
        <f>T108&lt;=-$R$128</f>
        <v>1</v>
      </c>
      <c r="V108" s="1">
        <v>75</v>
      </c>
      <c r="W108" s="4">
        <f t="shared" si="108"/>
        <v>-11.741935483870961</v>
      </c>
      <c r="X108" s="4">
        <f t="shared" si="88"/>
        <v>-303.47675843338118</v>
      </c>
      <c r="Y108" s="2" t="b">
        <f>X108&lt;=-$V$128</f>
        <v>1</v>
      </c>
      <c r="Z108" s="1">
        <v>57</v>
      </c>
      <c r="AA108" s="4">
        <f t="shared" si="109"/>
        <v>-32.258064516129039</v>
      </c>
      <c r="AB108" s="4">
        <f t="shared" si="89"/>
        <v>-295.3689758550114</v>
      </c>
      <c r="AC108" s="2" t="b">
        <f>AB108&lt;=-$Z$128</f>
        <v>1</v>
      </c>
      <c r="AD108" s="1">
        <v>69</v>
      </c>
      <c r="AE108" s="4">
        <f t="shared" si="110"/>
        <v>-16.58064516129032</v>
      </c>
      <c r="AF108" s="4">
        <f t="shared" si="90"/>
        <v>-269.41192176795107</v>
      </c>
      <c r="AG108" s="2" t="b">
        <f>AF108&lt;=-$AD$128</f>
        <v>1</v>
      </c>
      <c r="AH108" s="1">
        <v>62</v>
      </c>
      <c r="AI108" s="4">
        <f t="shared" si="111"/>
        <v>-25.838709677419359</v>
      </c>
      <c r="AJ108" s="4">
        <f t="shared" si="91"/>
        <v>-443.51870635034408</v>
      </c>
      <c r="AK108" s="2" t="b">
        <f>AJ108&lt;=-$AH$128</f>
        <v>1</v>
      </c>
      <c r="AL108" s="1">
        <v>79</v>
      </c>
      <c r="AM108" s="4">
        <f t="shared" si="112"/>
        <v>-7.9354838709677438</v>
      </c>
      <c r="AN108" s="4">
        <f t="shared" si="92"/>
        <v>-108.66912914310022</v>
      </c>
      <c r="AO108" s="2" t="b">
        <f>AN108&lt;=-$AL$128</f>
        <v>1</v>
      </c>
      <c r="AP108" s="1">
        <v>70</v>
      </c>
      <c r="AQ108" s="4">
        <f t="shared" si="113"/>
        <v>-20.193548387096769</v>
      </c>
      <c r="AR108" s="4">
        <f t="shared" si="93"/>
        <v>-406.91767721364334</v>
      </c>
      <c r="AS108" s="2" t="b">
        <f>AR108&lt;=-$AP$128</f>
        <v>1</v>
      </c>
      <c r="AT108" s="1">
        <v>78</v>
      </c>
      <c r="AU108" s="4">
        <f t="shared" si="114"/>
        <v>-8.4193548387096797</v>
      </c>
      <c r="AV108" s="4">
        <f t="shared" si="94"/>
        <v>-136.7498765179192</v>
      </c>
      <c r="AW108" s="2" t="b">
        <f>AV108&lt;=-$AT$128</f>
        <v>1</v>
      </c>
      <c r="AX108" s="1">
        <v>81</v>
      </c>
      <c r="AY108" s="4">
        <f t="shared" si="115"/>
        <v>-8.1612903225806406</v>
      </c>
      <c r="AZ108" s="4">
        <f t="shared" si="95"/>
        <v>-354.39662475008419</v>
      </c>
      <c r="BA108" s="2" t="b">
        <f>AZ108&lt;=-$AX$128</f>
        <v>1</v>
      </c>
      <c r="BB108" s="1">
        <v>61</v>
      </c>
      <c r="BC108" s="4">
        <f t="shared" si="116"/>
        <v>-25.645161290322577</v>
      </c>
      <c r="BD108" s="4">
        <f t="shared" si="96"/>
        <v>-329.93878450179159</v>
      </c>
      <c r="BE108" s="2" t="b">
        <f>BD108&lt;=-$BB$128</f>
        <v>1</v>
      </c>
      <c r="BF108" s="1">
        <v>78</v>
      </c>
      <c r="BG108" s="4">
        <f t="shared" si="117"/>
        <v>-13.258064516129039</v>
      </c>
      <c r="BH108" s="4">
        <f t="shared" si="97"/>
        <v>-230.58479943311096</v>
      </c>
      <c r="BI108" s="2" t="b">
        <f>BH108&lt;=-$BF$128</f>
        <v>1</v>
      </c>
      <c r="BJ108" s="1">
        <v>80</v>
      </c>
      <c r="BK108" s="4">
        <f t="shared" si="118"/>
        <v>-11.935483870967744</v>
      </c>
      <c r="BL108" s="4">
        <f t="shared" si="98"/>
        <v>-473.35539798476708</v>
      </c>
      <c r="BM108" s="2" t="b">
        <f>BL108&lt;=-$BJ$128</f>
        <v>1</v>
      </c>
      <c r="BN108" s="1">
        <v>77</v>
      </c>
      <c r="BO108" s="4">
        <f t="shared" si="119"/>
        <v>-17.096774193548384</v>
      </c>
      <c r="BP108" s="4">
        <f t="shared" si="99"/>
        <v>-635.70632065776761</v>
      </c>
      <c r="BQ108" s="2" t="b">
        <f>BP108&lt;=-$BN$128</f>
        <v>1</v>
      </c>
      <c r="BR108" s="1">
        <v>68</v>
      </c>
      <c r="BS108" s="4">
        <f t="shared" si="120"/>
        <v>-16.709677419354833</v>
      </c>
      <c r="BT108" s="4">
        <f t="shared" si="100"/>
        <v>-123.39823774379158</v>
      </c>
      <c r="BU108" s="2" t="b">
        <f>BT108&lt;=-$BR$128</f>
        <v>1</v>
      </c>
      <c r="BV108" s="1">
        <v>69</v>
      </c>
      <c r="BW108" s="2">
        <f t="shared" si="121"/>
        <v>-17.612903225806448</v>
      </c>
      <c r="BX108" s="4">
        <f t="shared" si="101"/>
        <v>-147.26866820324642</v>
      </c>
      <c r="BY108" s="2" t="b">
        <f>BX108&lt;=-$BV$128</f>
        <v>1</v>
      </c>
      <c r="BZ108" s="1">
        <v>81</v>
      </c>
      <c r="CA108" s="2">
        <f t="shared" si="122"/>
        <v>-9.0645161290322562</v>
      </c>
      <c r="CB108" s="4">
        <f t="shared" si="102"/>
        <v>-446.40648280523459</v>
      </c>
      <c r="CC108" s="2" t="b">
        <f>CB108&lt;=-$BZ$128</f>
        <v>1</v>
      </c>
    </row>
    <row r="109" spans="1:81" x14ac:dyDescent="0.2">
      <c r="A109" s="3">
        <v>45946</v>
      </c>
      <c r="B109" s="1">
        <v>80</v>
      </c>
      <c r="C109" s="2">
        <f t="shared" si="103"/>
        <v>-11.193548387096769</v>
      </c>
      <c r="D109" s="4">
        <f t="shared" si="83"/>
        <v>-517.38112037465328</v>
      </c>
      <c r="E109" s="2" t="b">
        <f>D109&lt;=-$B$128</f>
        <v>1</v>
      </c>
      <c r="F109" s="1">
        <v>57</v>
      </c>
      <c r="G109" s="4">
        <f t="shared" si="104"/>
        <v>-30.258064516129039</v>
      </c>
      <c r="H109" s="4">
        <f t="shared" si="84"/>
        <v>-244.11478991441805</v>
      </c>
      <c r="I109" s="2" t="b">
        <f>H109&lt;=-$F$128</f>
        <v>1</v>
      </c>
      <c r="J109" s="1">
        <v>78</v>
      </c>
      <c r="K109" s="4">
        <f t="shared" si="105"/>
        <v>-11.709677419354833</v>
      </c>
      <c r="L109" s="4">
        <f t="shared" si="85"/>
        <v>-351.67088006561551</v>
      </c>
      <c r="M109" s="2" t="b">
        <f>L109&lt;=-$J$128</f>
        <v>1</v>
      </c>
      <c r="N109" s="1">
        <v>77</v>
      </c>
      <c r="O109" s="4">
        <f t="shared" si="106"/>
        <v>-10.645161290322577</v>
      </c>
      <c r="P109" s="4">
        <f t="shared" si="86"/>
        <v>-294.37225132062429</v>
      </c>
      <c r="Q109" s="2" t="b">
        <f>P109&lt;=-$N$128</f>
        <v>1</v>
      </c>
      <c r="R109" s="1">
        <v>80</v>
      </c>
      <c r="S109" s="4">
        <f t="shared" si="107"/>
        <v>-11.741935483870961</v>
      </c>
      <c r="T109" s="4">
        <f t="shared" si="87"/>
        <v>-578.43589580650359</v>
      </c>
      <c r="U109" s="2" t="b">
        <f>T109&lt;=-$R$128</f>
        <v>1</v>
      </c>
      <c r="V109" s="1">
        <v>62</v>
      </c>
      <c r="W109" s="4">
        <f t="shared" si="108"/>
        <v>-24.741935483870961</v>
      </c>
      <c r="X109" s="4">
        <f t="shared" si="88"/>
        <v>-326.91505962589918</v>
      </c>
      <c r="Y109" s="2" t="b">
        <f>X109&lt;=-$V$128</f>
        <v>1</v>
      </c>
      <c r="Z109" s="1">
        <v>66</v>
      </c>
      <c r="AA109" s="4">
        <f t="shared" si="109"/>
        <v>-23.258064516129039</v>
      </c>
      <c r="AB109" s="4">
        <f t="shared" si="89"/>
        <v>-316.75635537211161</v>
      </c>
      <c r="AC109" s="2" t="b">
        <f>AB109&lt;=-$Z$128</f>
        <v>1</v>
      </c>
      <c r="AD109" s="1">
        <v>72</v>
      </c>
      <c r="AE109" s="4">
        <f t="shared" si="110"/>
        <v>-13.58064516129032</v>
      </c>
      <c r="AF109" s="4">
        <f t="shared" si="90"/>
        <v>-281.24721981214981</v>
      </c>
      <c r="AG109" s="2" t="b">
        <f>AF109&lt;=-$AD$128</f>
        <v>1</v>
      </c>
      <c r="AH109" s="1">
        <v>71</v>
      </c>
      <c r="AI109" s="4">
        <f t="shared" si="111"/>
        <v>-16.838709677419359</v>
      </c>
      <c r="AJ109" s="4">
        <f t="shared" si="91"/>
        <v>-458.80770221443339</v>
      </c>
      <c r="AK109" s="2" t="b">
        <f>AJ109&lt;=-$AH$128</f>
        <v>1</v>
      </c>
      <c r="AL109" s="1">
        <v>76</v>
      </c>
      <c r="AM109" s="4">
        <f t="shared" si="112"/>
        <v>-10.935483870967744</v>
      </c>
      <c r="AN109" s="4">
        <f t="shared" si="92"/>
        <v>-117.40258560025524</v>
      </c>
      <c r="AO109" s="2" t="b">
        <f>AN109&lt;=-$AL$128</f>
        <v>1</v>
      </c>
      <c r="AP109" s="1">
        <v>59</v>
      </c>
      <c r="AQ109" s="4">
        <f t="shared" si="113"/>
        <v>-31.193548387096769</v>
      </c>
      <c r="AR109" s="4">
        <f t="shared" si="93"/>
        <v>-435.9921874744561</v>
      </c>
      <c r="AS109" s="2" t="b">
        <f>AR109&lt;=-$AP$128</f>
        <v>1</v>
      </c>
      <c r="AT109" s="1">
        <v>76</v>
      </c>
      <c r="AU109" s="4">
        <f t="shared" si="114"/>
        <v>-10.41935483870968</v>
      </c>
      <c r="AV109" s="4">
        <f t="shared" si="94"/>
        <v>-145.49206015910417</v>
      </c>
      <c r="AW109" s="2" t="b">
        <f>AV109&lt;=-$AT$128</f>
        <v>1</v>
      </c>
      <c r="AX109" s="1">
        <v>83</v>
      </c>
      <c r="AY109" s="4">
        <f t="shared" si="115"/>
        <v>-6.1612903225806406</v>
      </c>
      <c r="AZ109" s="4">
        <f t="shared" si="95"/>
        <v>-359.18498163052021</v>
      </c>
      <c r="BA109" s="2" t="b">
        <f>AZ109&lt;=-$AX$128</f>
        <v>1</v>
      </c>
      <c r="BB109" s="1">
        <v>61</v>
      </c>
      <c r="BC109" s="4">
        <f t="shared" si="116"/>
        <v>-25.645161290322577</v>
      </c>
      <c r="BD109" s="4">
        <f t="shared" si="96"/>
        <v>-353.73756019182741</v>
      </c>
      <c r="BE109" s="2" t="b">
        <f>BD109&lt;=-$BB$128</f>
        <v>1</v>
      </c>
      <c r="BF109" s="1">
        <v>76</v>
      </c>
      <c r="BG109" s="4">
        <f t="shared" si="117"/>
        <v>-15.258064516129039</v>
      </c>
      <c r="BH109" s="4">
        <f t="shared" si="97"/>
        <v>-243.8140394047665</v>
      </c>
      <c r="BI109" s="2" t="b">
        <f>BH109&lt;=-$BF$128</f>
        <v>1</v>
      </c>
      <c r="BJ109" s="1">
        <v>84</v>
      </c>
      <c r="BK109" s="4">
        <f t="shared" si="118"/>
        <v>-7.9354838709677438</v>
      </c>
      <c r="BL109" s="4">
        <f t="shared" si="98"/>
        <v>-479.55433603202346</v>
      </c>
      <c r="BM109" s="2" t="b">
        <f>BL109&lt;=-$BJ$128</f>
        <v>1</v>
      </c>
      <c r="BN109" s="1">
        <v>74</v>
      </c>
      <c r="BO109" s="4">
        <f t="shared" si="119"/>
        <v>-20.096774193548384</v>
      </c>
      <c r="BP109" s="4">
        <f t="shared" si="99"/>
        <v>-653.51051683116168</v>
      </c>
      <c r="BQ109" s="2" t="b">
        <f>BP109&lt;=-$BN$128</f>
        <v>1</v>
      </c>
      <c r="BR109" s="1">
        <v>74</v>
      </c>
      <c r="BS109" s="4">
        <f t="shared" si="120"/>
        <v>-10.709677419354833</v>
      </c>
      <c r="BT109" s="4">
        <f t="shared" si="100"/>
        <v>-132.17059076943954</v>
      </c>
      <c r="BU109" s="2" t="b">
        <f>BT109&lt;=-$BR$128</f>
        <v>1</v>
      </c>
      <c r="BV109" s="1">
        <v>70</v>
      </c>
      <c r="BW109" s="2">
        <f t="shared" si="121"/>
        <v>-16.612903225806448</v>
      </c>
      <c r="BX109" s="4">
        <f t="shared" si="101"/>
        <v>-162.0895640845979</v>
      </c>
      <c r="BY109" s="2" t="b">
        <f>BX109&lt;=-$BV$128</f>
        <v>1</v>
      </c>
      <c r="BZ109" s="1">
        <v>77</v>
      </c>
      <c r="CA109" s="2">
        <f t="shared" si="122"/>
        <v>-13.064516129032256</v>
      </c>
      <c r="CB109" s="4">
        <f t="shared" si="102"/>
        <v>-457.69178804236856</v>
      </c>
      <c r="CC109" s="2" t="b">
        <f>CB109&lt;=-$BZ$128</f>
        <v>1</v>
      </c>
    </row>
    <row r="110" spans="1:81" x14ac:dyDescent="0.2">
      <c r="A110" s="3">
        <v>45947</v>
      </c>
      <c r="B110" s="1">
        <v>82</v>
      </c>
      <c r="C110" s="2">
        <f t="shared" si="103"/>
        <v>-9.1935483870967687</v>
      </c>
      <c r="D110" s="4">
        <f t="shared" si="83"/>
        <v>-524.12375276006571</v>
      </c>
      <c r="E110" s="2" t="b">
        <f>D110&lt;=-$B$128</f>
        <v>1</v>
      </c>
      <c r="F110" s="1">
        <v>66</v>
      </c>
      <c r="G110" s="4">
        <f t="shared" si="104"/>
        <v>-21.258064516129039</v>
      </c>
      <c r="H110" s="4">
        <f t="shared" si="84"/>
        <v>-263.15938151099476</v>
      </c>
      <c r="I110" s="2" t="b">
        <f>H110&lt;=-$F$128</f>
        <v>1</v>
      </c>
      <c r="J110" s="1">
        <v>77</v>
      </c>
      <c r="K110" s="4">
        <f t="shared" si="105"/>
        <v>-12.709677419354833</v>
      </c>
      <c r="L110" s="4">
        <f t="shared" si="85"/>
        <v>-362.85743816163472</v>
      </c>
      <c r="M110" s="2" t="b">
        <f>L110&lt;=-$J$128</f>
        <v>1</v>
      </c>
      <c r="N110" s="1">
        <v>80</v>
      </c>
      <c r="O110" s="4">
        <f t="shared" si="106"/>
        <v>-7.6451612903225765</v>
      </c>
      <c r="P110" s="4">
        <f t="shared" si="86"/>
        <v>-299.12619491161217</v>
      </c>
      <c r="Q110" s="2" t="b">
        <f>P110&lt;=-$N$128</f>
        <v>1</v>
      </c>
      <c r="R110" s="1">
        <v>80</v>
      </c>
      <c r="S110" s="4">
        <f t="shared" si="107"/>
        <v>-11.741935483870961</v>
      </c>
      <c r="T110" s="4">
        <f t="shared" si="87"/>
        <v>-587.42414363580576</v>
      </c>
      <c r="U110" s="2" t="b">
        <f>T110&lt;=-$R$128</f>
        <v>1</v>
      </c>
      <c r="V110" s="1">
        <v>60</v>
      </c>
      <c r="W110" s="4">
        <f t="shared" si="108"/>
        <v>-26.741935483870961</v>
      </c>
      <c r="X110" s="4">
        <f t="shared" si="88"/>
        <v>-352.35336081841717</v>
      </c>
      <c r="Y110" s="2" t="b">
        <f>X110&lt;=-$V$128</f>
        <v>1</v>
      </c>
      <c r="Z110" s="1">
        <v>64</v>
      </c>
      <c r="AA110" s="4">
        <f t="shared" si="109"/>
        <v>-25.258064516129039</v>
      </c>
      <c r="AB110" s="4">
        <f t="shared" si="89"/>
        <v>-340.14373488921183</v>
      </c>
      <c r="AC110" s="2" t="b">
        <f>AB110&lt;=-$Z$128</f>
        <v>1</v>
      </c>
      <c r="AD110" s="1">
        <v>68</v>
      </c>
      <c r="AE110" s="4">
        <f t="shared" si="110"/>
        <v>-17.58064516129032</v>
      </c>
      <c r="AF110" s="4">
        <f t="shared" si="90"/>
        <v>-297.08251785634855</v>
      </c>
      <c r="AG110" s="2" t="b">
        <f>AF110&lt;=-$AD$128</f>
        <v>1</v>
      </c>
      <c r="AH110" s="1">
        <v>75</v>
      </c>
      <c r="AI110" s="4">
        <f t="shared" si="111"/>
        <v>-12.838709677419359</v>
      </c>
      <c r="AJ110" s="4">
        <f t="shared" si="91"/>
        <v>-470.09669807852271</v>
      </c>
      <c r="AK110" s="2" t="b">
        <f>AJ110&lt;=-$AH$128</f>
        <v>1</v>
      </c>
      <c r="AL110" s="1">
        <v>75</v>
      </c>
      <c r="AM110" s="4">
        <f t="shared" si="112"/>
        <v>-11.935483870967744</v>
      </c>
      <c r="AN110" s="4">
        <f t="shared" si="92"/>
        <v>-127.13604205741025</v>
      </c>
      <c r="AO110" s="2" t="b">
        <f>AN110&lt;=-$AL$128</f>
        <v>1</v>
      </c>
      <c r="AP110" s="1">
        <v>71</v>
      </c>
      <c r="AQ110" s="4">
        <f t="shared" si="113"/>
        <v>-19.193548387096769</v>
      </c>
      <c r="AR110" s="4">
        <f t="shared" si="93"/>
        <v>-453.06669773526886</v>
      </c>
      <c r="AS110" s="2" t="b">
        <f>AR110&lt;=-$AP$128</f>
        <v>1</v>
      </c>
      <c r="AT110" s="1">
        <v>82</v>
      </c>
      <c r="AU110" s="4">
        <f t="shared" si="114"/>
        <v>-4.4193548387096797</v>
      </c>
      <c r="AV110" s="4">
        <f t="shared" si="94"/>
        <v>-148.23424380028914</v>
      </c>
      <c r="AW110" s="2" t="b">
        <f>AV110&lt;=-$AT$128</f>
        <v>1</v>
      </c>
      <c r="AX110" s="1">
        <v>69</v>
      </c>
      <c r="AY110" s="4">
        <f t="shared" si="115"/>
        <v>-20.161290322580641</v>
      </c>
      <c r="AZ110" s="4">
        <f t="shared" si="95"/>
        <v>-377.97333851095624</v>
      </c>
      <c r="BA110" s="2" t="b">
        <f>AZ110&lt;=-$AX$128</f>
        <v>1</v>
      </c>
      <c r="BB110" s="1">
        <v>51</v>
      </c>
      <c r="BC110" s="4">
        <f t="shared" si="116"/>
        <v>-35.645161290322577</v>
      </c>
      <c r="BD110" s="4">
        <f t="shared" si="96"/>
        <v>-387.53633588186324</v>
      </c>
      <c r="BE110" s="2" t="b">
        <f>BD110&lt;=-$BB$128</f>
        <v>1</v>
      </c>
      <c r="BF110" s="1">
        <v>80</v>
      </c>
      <c r="BG110" s="4">
        <f t="shared" si="117"/>
        <v>-11.258064516129039</v>
      </c>
      <c r="BH110" s="4">
        <f t="shared" si="97"/>
        <v>-253.04327937642205</v>
      </c>
      <c r="BI110" s="2" t="b">
        <f>BH110&lt;=-$BF$128</f>
        <v>1</v>
      </c>
      <c r="BJ110" s="1">
        <v>85</v>
      </c>
      <c r="BK110" s="4">
        <f t="shared" si="118"/>
        <v>-6.9354838709677438</v>
      </c>
      <c r="BL110" s="4">
        <f t="shared" si="98"/>
        <v>-484.75327407927983</v>
      </c>
      <c r="BM110" s="2" t="b">
        <f>BL110&lt;=-$BJ$128</f>
        <v>1</v>
      </c>
      <c r="BN110" s="1">
        <v>75</v>
      </c>
      <c r="BO110" s="4">
        <f t="shared" si="119"/>
        <v>-19.096774193548384</v>
      </c>
      <c r="BP110" s="4">
        <f t="shared" si="99"/>
        <v>-670.31471300455576</v>
      </c>
      <c r="BQ110" s="2" t="b">
        <f>BP110&lt;=-$BN$128</f>
        <v>1</v>
      </c>
      <c r="BR110" s="1">
        <v>72</v>
      </c>
      <c r="BS110" s="4">
        <f t="shared" si="120"/>
        <v>-12.709677419354833</v>
      </c>
      <c r="BT110" s="4">
        <f t="shared" si="100"/>
        <v>-142.94294379508753</v>
      </c>
      <c r="BU110" s="2" t="b">
        <f>BT110&lt;=-$BR$128</f>
        <v>1</v>
      </c>
      <c r="BV110" s="1">
        <v>80</v>
      </c>
      <c r="BW110" s="2">
        <f t="shared" si="121"/>
        <v>-6.6129032258064484</v>
      </c>
      <c r="BX110" s="4">
        <f t="shared" si="101"/>
        <v>-166.91045996594937</v>
      </c>
      <c r="BY110" s="2" t="b">
        <f>BX110&lt;=-$BV$128</f>
        <v>1</v>
      </c>
      <c r="BZ110" s="1">
        <v>70</v>
      </c>
      <c r="CA110" s="2">
        <f t="shared" si="122"/>
        <v>-20.064516129032256</v>
      </c>
      <c r="CB110" s="4">
        <f t="shared" si="102"/>
        <v>-475.97709327950253</v>
      </c>
      <c r="CC110" s="2" t="b">
        <f>CB110&lt;=-$BZ$128</f>
        <v>1</v>
      </c>
    </row>
    <row r="111" spans="1:81" x14ac:dyDescent="0.2">
      <c r="A111" s="3">
        <v>45948</v>
      </c>
      <c r="B111" s="1">
        <v>66</v>
      </c>
      <c r="C111" s="2">
        <f t="shared" si="103"/>
        <v>-25.193548387096769</v>
      </c>
      <c r="D111" s="4">
        <f t="shared" si="83"/>
        <v>-546.86638514547815</v>
      </c>
      <c r="E111" s="2" t="b">
        <f>D111&lt;=-$B$128</f>
        <v>1</v>
      </c>
      <c r="F111" s="1">
        <v>64</v>
      </c>
      <c r="G111" s="4">
        <f t="shared" si="104"/>
        <v>-23.258064516129039</v>
      </c>
      <c r="H111" s="4">
        <f t="shared" si="84"/>
        <v>-284.20397310757147</v>
      </c>
      <c r="I111" s="2" t="b">
        <f>H111&lt;=-$F$128</f>
        <v>1</v>
      </c>
      <c r="J111" s="1">
        <v>78</v>
      </c>
      <c r="K111" s="4">
        <f t="shared" si="105"/>
        <v>-11.709677419354833</v>
      </c>
      <c r="L111" s="4">
        <f t="shared" si="85"/>
        <v>-373.04399625765393</v>
      </c>
      <c r="M111" s="2" t="b">
        <f>L111&lt;=-$J$128</f>
        <v>1</v>
      </c>
      <c r="N111" s="1">
        <v>71</v>
      </c>
      <c r="O111" s="4">
        <f t="shared" si="106"/>
        <v>-16.645161290322577</v>
      </c>
      <c r="P111" s="4">
        <f t="shared" si="86"/>
        <v>-312.88013850260006</v>
      </c>
      <c r="Q111" s="2" t="b">
        <f>P111&lt;=-$N$128</f>
        <v>1</v>
      </c>
      <c r="R111" s="1">
        <v>80</v>
      </c>
      <c r="S111" s="4">
        <f t="shared" si="107"/>
        <v>-11.741935483870961</v>
      </c>
      <c r="T111" s="4">
        <f t="shared" si="87"/>
        <v>-596.41239146510793</v>
      </c>
      <c r="U111" s="2" t="b">
        <f>T111&lt;=-$R$128</f>
        <v>1</v>
      </c>
      <c r="V111" s="1">
        <v>64</v>
      </c>
      <c r="W111" s="4">
        <f t="shared" si="108"/>
        <v>-22.741935483870961</v>
      </c>
      <c r="X111" s="4">
        <f t="shared" si="88"/>
        <v>-373.79166201093517</v>
      </c>
      <c r="Y111" s="2" t="b">
        <f>X111&lt;=-$V$128</f>
        <v>1</v>
      </c>
      <c r="Z111" s="1">
        <v>68</v>
      </c>
      <c r="AA111" s="4">
        <f t="shared" si="109"/>
        <v>-21.258064516129039</v>
      </c>
      <c r="AB111" s="4">
        <f t="shared" si="89"/>
        <v>-359.53111440631204</v>
      </c>
      <c r="AC111" s="2" t="b">
        <f>AB111&lt;=-$Z$128</f>
        <v>1</v>
      </c>
      <c r="AD111" s="1">
        <v>70</v>
      </c>
      <c r="AE111" s="4">
        <f t="shared" si="110"/>
        <v>-15.58064516129032</v>
      </c>
      <c r="AF111" s="4">
        <f t="shared" si="90"/>
        <v>-310.91781590054728</v>
      </c>
      <c r="AG111" s="2" t="b">
        <f>AF111&lt;=-$AD$128</f>
        <v>1</v>
      </c>
      <c r="AH111" s="1">
        <v>73</v>
      </c>
      <c r="AI111" s="4">
        <f t="shared" si="111"/>
        <v>-14.838709677419359</v>
      </c>
      <c r="AJ111" s="4">
        <f t="shared" si="91"/>
        <v>-483.38569394261202</v>
      </c>
      <c r="AK111" s="2" t="b">
        <f>AJ111&lt;=-$AH$128</f>
        <v>1</v>
      </c>
      <c r="AL111" s="1">
        <v>81</v>
      </c>
      <c r="AM111" s="4">
        <f t="shared" si="112"/>
        <v>-5.9354838709677438</v>
      </c>
      <c r="AN111" s="4">
        <f t="shared" si="92"/>
        <v>-130.86949851456524</v>
      </c>
      <c r="AO111" s="2" t="b">
        <f>AN111&lt;=-$AL$128</f>
        <v>1</v>
      </c>
      <c r="AP111" s="1">
        <v>77</v>
      </c>
      <c r="AQ111" s="4">
        <f t="shared" si="113"/>
        <v>-13.193548387096769</v>
      </c>
      <c r="AR111" s="4">
        <f t="shared" si="93"/>
        <v>-464.14120799608162</v>
      </c>
      <c r="AS111" s="2" t="b">
        <f>AR111&lt;=-$AP$128</f>
        <v>1</v>
      </c>
      <c r="AT111" s="1">
        <v>77</v>
      </c>
      <c r="AU111" s="4">
        <f t="shared" si="114"/>
        <v>-9.4193548387096797</v>
      </c>
      <c r="AV111" s="4">
        <f t="shared" si="94"/>
        <v>-155.9764274414741</v>
      </c>
      <c r="AW111" s="2" t="b">
        <f>AV111&lt;=-$AT$128</f>
        <v>1</v>
      </c>
      <c r="AX111" s="1">
        <v>67</v>
      </c>
      <c r="AY111" s="4">
        <f t="shared" si="115"/>
        <v>-22.161290322580641</v>
      </c>
      <c r="AZ111" s="4">
        <f t="shared" si="95"/>
        <v>-398.76169539139227</v>
      </c>
      <c r="BA111" s="2" t="b">
        <f>AZ111&lt;=-$AX$128</f>
        <v>1</v>
      </c>
      <c r="BB111" s="1">
        <v>55</v>
      </c>
      <c r="BC111" s="4">
        <f t="shared" si="116"/>
        <v>-31.645161290322577</v>
      </c>
      <c r="BD111" s="4">
        <f t="shared" si="96"/>
        <v>-417.33511157189906</v>
      </c>
      <c r="BE111" s="2" t="b">
        <f>BD111&lt;=-$BB$128</f>
        <v>1</v>
      </c>
      <c r="BF111" s="1">
        <v>78</v>
      </c>
      <c r="BG111" s="4">
        <f t="shared" si="117"/>
        <v>-13.258064516129039</v>
      </c>
      <c r="BH111" s="4">
        <f t="shared" si="97"/>
        <v>-264.27251934807759</v>
      </c>
      <c r="BI111" s="2" t="b">
        <f>BH111&lt;=-$BF$128</f>
        <v>1</v>
      </c>
      <c r="BJ111" s="1">
        <v>80</v>
      </c>
      <c r="BK111" s="4">
        <f t="shared" si="118"/>
        <v>-11.935483870967744</v>
      </c>
      <c r="BL111" s="4">
        <f t="shared" si="98"/>
        <v>-494.95221212653621</v>
      </c>
      <c r="BM111" s="2" t="b">
        <f>BL111&lt;=-$BJ$128</f>
        <v>1</v>
      </c>
      <c r="BN111" s="1">
        <v>74</v>
      </c>
      <c r="BO111" s="4">
        <f t="shared" si="119"/>
        <v>-20.096774193548384</v>
      </c>
      <c r="BP111" s="4">
        <f t="shared" si="99"/>
        <v>-688.11890917794983</v>
      </c>
      <c r="BQ111" s="2" t="b">
        <f>BP111&lt;=-$BN$128</f>
        <v>1</v>
      </c>
      <c r="BR111" s="1">
        <v>73</v>
      </c>
      <c r="BS111" s="4">
        <f t="shared" si="120"/>
        <v>-11.709677419354833</v>
      </c>
      <c r="BT111" s="4">
        <f t="shared" si="100"/>
        <v>-152.71529682073552</v>
      </c>
      <c r="BU111" s="2" t="b">
        <f>BT111&lt;=-$BR$128</f>
        <v>1</v>
      </c>
      <c r="BV111" s="1">
        <v>76</v>
      </c>
      <c r="BW111" s="2">
        <f t="shared" si="121"/>
        <v>-10.612903225806448</v>
      </c>
      <c r="BX111" s="4">
        <f t="shared" si="101"/>
        <v>-175.73135584730085</v>
      </c>
      <c r="BY111" s="2" t="b">
        <f>BX111&lt;=-$BV$128</f>
        <v>1</v>
      </c>
      <c r="BZ111" s="1">
        <v>66</v>
      </c>
      <c r="CA111" s="2">
        <f t="shared" si="122"/>
        <v>-24.064516129032256</v>
      </c>
      <c r="CB111" s="4">
        <f t="shared" si="102"/>
        <v>-498.26239851663649</v>
      </c>
      <c r="CC111" s="2" t="b">
        <f>CB111&lt;=-$BZ$128</f>
        <v>1</v>
      </c>
    </row>
    <row r="112" spans="1:81" x14ac:dyDescent="0.2">
      <c r="A112" s="3">
        <v>45949</v>
      </c>
      <c r="B112" s="1">
        <v>63</v>
      </c>
      <c r="C112" s="2">
        <f t="shared" si="103"/>
        <v>-28.193548387096769</v>
      </c>
      <c r="D112" s="4">
        <f t="shared" si="83"/>
        <v>-572.60901753089058</v>
      </c>
      <c r="E112" s="2" t="b">
        <f>D112&lt;=-$B$128</f>
        <v>1</v>
      </c>
      <c r="F112" s="1">
        <v>69</v>
      </c>
      <c r="G112" s="4">
        <f t="shared" si="104"/>
        <v>-18.258064516129039</v>
      </c>
      <c r="H112" s="4">
        <f t="shared" si="84"/>
        <v>-300.24856470414818</v>
      </c>
      <c r="I112" s="2" t="b">
        <f>H112&lt;=-$F$128</f>
        <v>1</v>
      </c>
      <c r="J112" s="1">
        <v>82</v>
      </c>
      <c r="K112" s="4">
        <f t="shared" si="105"/>
        <v>-7.7096774193548328</v>
      </c>
      <c r="L112" s="4">
        <f t="shared" si="85"/>
        <v>-379.23055435367314</v>
      </c>
      <c r="M112" s="2" t="b">
        <f>L112&lt;=-$J$128</f>
        <v>1</v>
      </c>
      <c r="N112" s="1">
        <v>66</v>
      </c>
      <c r="O112" s="4">
        <f t="shared" si="106"/>
        <v>-21.645161290322577</v>
      </c>
      <c r="P112" s="4">
        <f t="shared" si="86"/>
        <v>-331.63408209358795</v>
      </c>
      <c r="Q112" s="2" t="b">
        <f>P112&lt;=-$N$128</f>
        <v>1</v>
      </c>
      <c r="R112" s="1">
        <v>73</v>
      </c>
      <c r="S112" s="4">
        <f t="shared" si="107"/>
        <v>-18.741935483870961</v>
      </c>
      <c r="T112" s="4">
        <f t="shared" si="87"/>
        <v>-612.4006392944101</v>
      </c>
      <c r="U112" s="2" t="b">
        <f>T112&lt;=-$R$128</f>
        <v>1</v>
      </c>
      <c r="V112" s="1">
        <v>71</v>
      </c>
      <c r="W112" s="4">
        <f t="shared" si="108"/>
        <v>-15.741935483870961</v>
      </c>
      <c r="X112" s="4">
        <f t="shared" si="88"/>
        <v>-388.22996320345317</v>
      </c>
      <c r="Y112" s="2" t="b">
        <f>X112&lt;=-$V$128</f>
        <v>1</v>
      </c>
      <c r="Z112" s="1">
        <v>71</v>
      </c>
      <c r="AA112" s="4">
        <f t="shared" si="109"/>
        <v>-18.258064516129039</v>
      </c>
      <c r="AB112" s="4">
        <f t="shared" si="89"/>
        <v>-375.91849392341226</v>
      </c>
      <c r="AC112" s="2" t="b">
        <f>AB112&lt;=-$Z$128</f>
        <v>1</v>
      </c>
      <c r="AD112" s="1">
        <v>75</v>
      </c>
      <c r="AE112" s="4">
        <f t="shared" si="110"/>
        <v>-10.58064516129032</v>
      </c>
      <c r="AF112" s="4">
        <f t="shared" si="90"/>
        <v>-319.75311394474602</v>
      </c>
      <c r="AG112" s="2" t="b">
        <f>AF112&lt;=-$AD$128</f>
        <v>1</v>
      </c>
      <c r="AH112" s="1">
        <v>68</v>
      </c>
      <c r="AI112" s="4">
        <f t="shared" si="111"/>
        <v>-19.838709677419359</v>
      </c>
      <c r="AJ112" s="4">
        <f t="shared" si="91"/>
        <v>-501.67468980670134</v>
      </c>
      <c r="AK112" s="2" t="b">
        <f>AJ112&lt;=-$AH$128</f>
        <v>1</v>
      </c>
      <c r="AL112" s="1">
        <v>83</v>
      </c>
      <c r="AM112" s="4">
        <f t="shared" si="112"/>
        <v>-3.9354838709677438</v>
      </c>
      <c r="AN112" s="4">
        <f t="shared" si="92"/>
        <v>-132.60295497172024</v>
      </c>
      <c r="AO112" s="2" t="b">
        <f>AN112&lt;=-$AL$128</f>
        <v>1</v>
      </c>
      <c r="AP112" s="1">
        <v>76</v>
      </c>
      <c r="AQ112" s="4">
        <f t="shared" si="113"/>
        <v>-14.193548387096769</v>
      </c>
      <c r="AR112" s="4">
        <f t="shared" si="93"/>
        <v>-476.21571825689438</v>
      </c>
      <c r="AS112" s="2" t="b">
        <f>AR112&lt;=-$AP$128</f>
        <v>1</v>
      </c>
      <c r="AT112" s="1">
        <v>76</v>
      </c>
      <c r="AU112" s="4">
        <f t="shared" si="114"/>
        <v>-10.41935483870968</v>
      </c>
      <c r="AV112" s="4">
        <f t="shared" si="94"/>
        <v>-164.71861108265907</v>
      </c>
      <c r="AW112" s="2" t="b">
        <f>AV112&lt;=-$AT$128</f>
        <v>1</v>
      </c>
      <c r="AX112" s="1">
        <v>65</v>
      </c>
      <c r="AY112" s="4">
        <f t="shared" si="115"/>
        <v>-24.161290322580641</v>
      </c>
      <c r="AZ112" s="4">
        <f t="shared" si="95"/>
        <v>-421.55005227182829</v>
      </c>
      <c r="BA112" s="2" t="b">
        <f>AZ112&lt;=-$AX$128</f>
        <v>1</v>
      </c>
      <c r="BB112" s="1">
        <v>61</v>
      </c>
      <c r="BC112" s="4">
        <f t="shared" si="116"/>
        <v>-25.645161290322577</v>
      </c>
      <c r="BD112" s="4">
        <f t="shared" si="96"/>
        <v>-441.13388726193489</v>
      </c>
      <c r="BE112" s="2" t="b">
        <f>BD112&lt;=-$BB$128</f>
        <v>1</v>
      </c>
      <c r="BF112" s="1">
        <v>82</v>
      </c>
      <c r="BG112" s="4">
        <f t="shared" si="117"/>
        <v>-9.2580645161290391</v>
      </c>
      <c r="BH112" s="4">
        <f t="shared" si="97"/>
        <v>-271.50175931973314</v>
      </c>
      <c r="BI112" s="2" t="b">
        <f>BH112&lt;=-$BF$128</f>
        <v>1</v>
      </c>
      <c r="BJ112" s="1">
        <v>67</v>
      </c>
      <c r="BK112" s="4">
        <f t="shared" si="118"/>
        <v>-24.935483870967744</v>
      </c>
      <c r="BL112" s="4">
        <f t="shared" si="98"/>
        <v>-518.15115017379253</v>
      </c>
      <c r="BM112" s="2" t="b">
        <f>BL112&lt;=-$BJ$128</f>
        <v>1</v>
      </c>
      <c r="BN112" s="1">
        <v>73</v>
      </c>
      <c r="BO112" s="4">
        <f t="shared" si="119"/>
        <v>-21.096774193548384</v>
      </c>
      <c r="BP112" s="4">
        <f t="shared" si="99"/>
        <v>-706.92310535134391</v>
      </c>
      <c r="BQ112" s="2" t="b">
        <f>BP112&lt;=-$BN$128</f>
        <v>1</v>
      </c>
      <c r="BR112" s="1">
        <v>63</v>
      </c>
      <c r="BS112" s="4">
        <f t="shared" si="120"/>
        <v>-21.709677419354833</v>
      </c>
      <c r="BT112" s="4">
        <f t="shared" si="100"/>
        <v>-172.4876498463835</v>
      </c>
      <c r="BU112" s="2" t="b">
        <f>BT112&lt;=-$BR$128</f>
        <v>1</v>
      </c>
      <c r="BV112" s="1">
        <v>73</v>
      </c>
      <c r="BW112" s="2">
        <f t="shared" si="121"/>
        <v>-13.612903225806448</v>
      </c>
      <c r="BX112" s="4">
        <f t="shared" si="101"/>
        <v>-187.55225172865232</v>
      </c>
      <c r="BY112" s="2" t="b">
        <f>BX112&lt;=-$BV$128</f>
        <v>1</v>
      </c>
      <c r="BZ112" s="1">
        <v>64</v>
      </c>
      <c r="CA112" s="2">
        <f t="shared" si="122"/>
        <v>-26.064516129032256</v>
      </c>
      <c r="CB112" s="4">
        <f t="shared" si="102"/>
        <v>-522.54770375377041</v>
      </c>
      <c r="CC112" s="2" t="b">
        <f>CB112&lt;=-$BZ$128</f>
        <v>1</v>
      </c>
    </row>
    <row r="113" spans="1:81" x14ac:dyDescent="0.2">
      <c r="A113" s="3">
        <v>45950</v>
      </c>
      <c r="B113" s="1">
        <v>68</v>
      </c>
      <c r="C113" s="2">
        <f t="shared" si="103"/>
        <v>-23.193548387096769</v>
      </c>
      <c r="D113" s="4">
        <f t="shared" si="83"/>
        <v>-593.35164991630302</v>
      </c>
      <c r="E113" s="2" t="b">
        <f>D113&lt;=-$B$128</f>
        <v>1</v>
      </c>
      <c r="F113" s="1">
        <v>70</v>
      </c>
      <c r="G113" s="4">
        <f t="shared" si="104"/>
        <v>-17.258064516129039</v>
      </c>
      <c r="H113" s="4">
        <f t="shared" si="84"/>
        <v>-315.29315630072489</v>
      </c>
      <c r="I113" s="2" t="b">
        <f>H113&lt;=-$F$128</f>
        <v>1</v>
      </c>
      <c r="J113" s="1">
        <v>75</v>
      </c>
      <c r="K113" s="4">
        <f t="shared" si="105"/>
        <v>-14.709677419354833</v>
      </c>
      <c r="L113" s="4">
        <f t="shared" si="85"/>
        <v>-392.41711244969235</v>
      </c>
      <c r="M113" s="2" t="b">
        <f>L113&lt;=-$J$128</f>
        <v>1</v>
      </c>
      <c r="N113" s="1">
        <v>60</v>
      </c>
      <c r="O113" s="4">
        <f t="shared" si="106"/>
        <v>-27.645161290322577</v>
      </c>
      <c r="P113" s="4">
        <f t="shared" si="86"/>
        <v>-356.38802568457584</v>
      </c>
      <c r="Q113" s="2" t="b">
        <f>P113&lt;=-$N$128</f>
        <v>1</v>
      </c>
      <c r="R113" s="1">
        <v>73</v>
      </c>
      <c r="S113" s="4">
        <f t="shared" si="107"/>
        <v>-18.741935483870961</v>
      </c>
      <c r="T113" s="4">
        <f t="shared" si="87"/>
        <v>-628.38888712371227</v>
      </c>
      <c r="U113" s="2" t="b">
        <f>T113&lt;=-$R$128</f>
        <v>1</v>
      </c>
      <c r="V113" s="1">
        <v>75</v>
      </c>
      <c r="W113" s="4">
        <f t="shared" si="108"/>
        <v>-11.741935483870961</v>
      </c>
      <c r="X113" s="4">
        <f t="shared" si="88"/>
        <v>-398.66826439597116</v>
      </c>
      <c r="Y113" s="2" t="b">
        <f>X113&lt;=-$V$128</f>
        <v>1</v>
      </c>
      <c r="Z113" s="1">
        <v>73</v>
      </c>
      <c r="AA113" s="4">
        <f t="shared" si="109"/>
        <v>-16.258064516129039</v>
      </c>
      <c r="AB113" s="4">
        <f t="shared" si="89"/>
        <v>-390.30587344051247</v>
      </c>
      <c r="AC113" s="2" t="b">
        <f>AB113&lt;=-$Z$128</f>
        <v>1</v>
      </c>
      <c r="AD113" s="1">
        <v>78</v>
      </c>
      <c r="AE113" s="4">
        <f t="shared" si="110"/>
        <v>-7.5806451612903203</v>
      </c>
      <c r="AF113" s="4">
        <f t="shared" si="90"/>
        <v>-325.58841198894476</v>
      </c>
      <c r="AG113" s="2" t="b">
        <f>AF113&lt;=-$AD$128</f>
        <v>1</v>
      </c>
      <c r="AH113" s="1">
        <v>71</v>
      </c>
      <c r="AI113" s="4">
        <f t="shared" si="111"/>
        <v>-16.838709677419359</v>
      </c>
      <c r="AJ113" s="4">
        <f t="shared" si="91"/>
        <v>-516.96368567079071</v>
      </c>
      <c r="AK113" s="2" t="b">
        <f>AJ113&lt;=-$AH$128</f>
        <v>1</v>
      </c>
      <c r="AL113" s="1">
        <v>83</v>
      </c>
      <c r="AM113" s="4">
        <f t="shared" si="112"/>
        <v>-3.9354838709677438</v>
      </c>
      <c r="AN113" s="4">
        <f t="shared" si="92"/>
        <v>-134.33641142887524</v>
      </c>
      <c r="AO113" s="2" t="b">
        <f>AN113&lt;=-$AL$128</f>
        <v>1</v>
      </c>
      <c r="AP113" s="1">
        <v>69</v>
      </c>
      <c r="AQ113" s="4">
        <f t="shared" si="113"/>
        <v>-21.193548387096769</v>
      </c>
      <c r="AR113" s="4">
        <f t="shared" si="93"/>
        <v>-495.29022851770713</v>
      </c>
      <c r="AS113" s="2" t="b">
        <f>AR113&lt;=-$AP$128</f>
        <v>1</v>
      </c>
      <c r="AT113" s="1">
        <v>75</v>
      </c>
      <c r="AU113" s="4">
        <f t="shared" si="114"/>
        <v>-11.41935483870968</v>
      </c>
      <c r="AV113" s="4">
        <f t="shared" si="94"/>
        <v>-174.46079472384403</v>
      </c>
      <c r="AW113" s="2" t="b">
        <f>AV113&lt;=-$AT$128</f>
        <v>1</v>
      </c>
      <c r="AX113" s="1">
        <v>66</v>
      </c>
      <c r="AY113" s="4">
        <f t="shared" si="115"/>
        <v>-23.161290322580641</v>
      </c>
      <c r="AZ113" s="4">
        <f t="shared" si="95"/>
        <v>-443.33840915226432</v>
      </c>
      <c r="BA113" s="2" t="b">
        <f>AZ113&lt;=-$AX$128</f>
        <v>1</v>
      </c>
      <c r="BB113" s="1">
        <v>68</v>
      </c>
      <c r="BC113" s="4">
        <f t="shared" si="116"/>
        <v>-18.645161290322577</v>
      </c>
      <c r="BD113" s="4">
        <f t="shared" si="96"/>
        <v>-457.93266295197071</v>
      </c>
      <c r="BE113" s="2" t="b">
        <f>BD113&lt;=-$BB$128</f>
        <v>1</v>
      </c>
      <c r="BF113" s="1">
        <v>77</v>
      </c>
      <c r="BG113" s="4">
        <f t="shared" si="117"/>
        <v>-14.258064516129039</v>
      </c>
      <c r="BH113" s="4">
        <f t="shared" si="97"/>
        <v>-283.73099929138868</v>
      </c>
      <c r="BI113" s="2" t="b">
        <f>BH113&lt;=-$BF$128</f>
        <v>1</v>
      </c>
      <c r="BJ113" s="1">
        <v>59</v>
      </c>
      <c r="BK113" s="4">
        <f t="shared" si="118"/>
        <v>-32.935483870967744</v>
      </c>
      <c r="BL113" s="4">
        <f t="shared" si="98"/>
        <v>-549.35008822104896</v>
      </c>
      <c r="BM113" s="2" t="b">
        <f>BL113&lt;=-$BJ$128</f>
        <v>1</v>
      </c>
      <c r="BN113" s="1">
        <v>71</v>
      </c>
      <c r="BO113" s="4">
        <f t="shared" si="119"/>
        <v>-23.096774193548384</v>
      </c>
      <c r="BP113" s="4">
        <f t="shared" si="99"/>
        <v>-727.72730152473798</v>
      </c>
      <c r="BQ113" s="2" t="b">
        <f>BP113&lt;=-$BN$128</f>
        <v>1</v>
      </c>
      <c r="BR113" s="1">
        <v>70</v>
      </c>
      <c r="BS113" s="4">
        <f t="shared" si="120"/>
        <v>-14.709677419354833</v>
      </c>
      <c r="BT113" s="4">
        <f t="shared" si="100"/>
        <v>-185.26000287203149</v>
      </c>
      <c r="BU113" s="2" t="b">
        <f>BT113&lt;=-$BR$128</f>
        <v>1</v>
      </c>
      <c r="BV113" s="1">
        <v>73</v>
      </c>
      <c r="BW113" s="2">
        <f t="shared" si="121"/>
        <v>-13.612903225806448</v>
      </c>
      <c r="BX113" s="4">
        <f t="shared" si="101"/>
        <v>-199.3731476100038</v>
      </c>
      <c r="BY113" s="2" t="b">
        <f>BX113&lt;=-$BV$128</f>
        <v>1</v>
      </c>
      <c r="BZ113" s="1">
        <v>71</v>
      </c>
      <c r="CA113" s="2">
        <f t="shared" si="122"/>
        <v>-19.064516129032256</v>
      </c>
      <c r="CB113" s="4">
        <f t="shared" si="102"/>
        <v>-539.83300899090443</v>
      </c>
      <c r="CC113" s="2" t="b">
        <f>CB113&lt;=-$BZ$128</f>
        <v>1</v>
      </c>
    </row>
    <row r="114" spans="1:81" x14ac:dyDescent="0.2">
      <c r="A114" s="3">
        <v>45951</v>
      </c>
      <c r="B114" s="1">
        <v>79</v>
      </c>
      <c r="C114" s="2">
        <f t="shared" si="103"/>
        <v>-12.193548387096769</v>
      </c>
      <c r="D114" s="4">
        <f t="shared" si="83"/>
        <v>-603.09428230171545</v>
      </c>
      <c r="E114" s="2" t="b">
        <f>D114&lt;=-$B$128</f>
        <v>1</v>
      </c>
      <c r="F114" s="1">
        <v>70</v>
      </c>
      <c r="G114" s="4">
        <f t="shared" si="104"/>
        <v>-17.258064516129039</v>
      </c>
      <c r="H114" s="4">
        <f t="shared" si="84"/>
        <v>-330.3377478973016</v>
      </c>
      <c r="I114" s="2" t="b">
        <f>H114&lt;=-$F$128</f>
        <v>1</v>
      </c>
      <c r="J114" s="1">
        <v>73</v>
      </c>
      <c r="K114" s="4">
        <f t="shared" si="105"/>
        <v>-16.709677419354833</v>
      </c>
      <c r="L114" s="4">
        <f t="shared" si="85"/>
        <v>-407.60367054571157</v>
      </c>
      <c r="M114" s="2" t="b">
        <f>L114&lt;=-$J$128</f>
        <v>1</v>
      </c>
      <c r="N114" s="1">
        <v>64</v>
      </c>
      <c r="O114" s="4">
        <f t="shared" si="106"/>
        <v>-23.645161290322577</v>
      </c>
      <c r="P114" s="4">
        <f t="shared" si="86"/>
        <v>-377.14196927556372</v>
      </c>
      <c r="Q114" s="2" t="b">
        <f>P114&lt;=-$N$128</f>
        <v>1</v>
      </c>
      <c r="R114" s="1">
        <v>75</v>
      </c>
      <c r="S114" s="4">
        <f t="shared" si="107"/>
        <v>-16.741935483870961</v>
      </c>
      <c r="T114" s="4">
        <f t="shared" si="87"/>
        <v>-642.37713495301443</v>
      </c>
      <c r="U114" s="2" t="b">
        <f>T114&lt;=-$R$128</f>
        <v>1</v>
      </c>
      <c r="V114" s="1">
        <v>79</v>
      </c>
      <c r="W114" s="4">
        <f t="shared" si="108"/>
        <v>-7.7419354838709609</v>
      </c>
      <c r="X114" s="4">
        <f t="shared" si="88"/>
        <v>-405.10656558848916</v>
      </c>
      <c r="Y114" s="2" t="b">
        <f>X114&lt;=-$V$128</f>
        <v>1</v>
      </c>
      <c r="Z114" s="1">
        <v>71</v>
      </c>
      <c r="AA114" s="4">
        <f t="shared" si="109"/>
        <v>-18.258064516129039</v>
      </c>
      <c r="AB114" s="4">
        <f t="shared" si="89"/>
        <v>-406.69325295761269</v>
      </c>
      <c r="AC114" s="2" t="b">
        <f>AB114&lt;=-$Z$128</f>
        <v>1</v>
      </c>
      <c r="AD114" s="1">
        <v>84</v>
      </c>
      <c r="AE114" s="4">
        <f t="shared" si="110"/>
        <v>-1.5806451612903203</v>
      </c>
      <c r="AF114" s="4">
        <f t="shared" si="90"/>
        <v>-325.42371003314349</v>
      </c>
      <c r="AG114" s="2" t="b">
        <f>AF114&lt;=-$AD$128</f>
        <v>1</v>
      </c>
      <c r="AH114" s="1">
        <v>73</v>
      </c>
      <c r="AI114" s="4">
        <f t="shared" si="111"/>
        <v>-14.838709677419359</v>
      </c>
      <c r="AJ114" s="4">
        <f t="shared" si="91"/>
        <v>-530.25268153488014</v>
      </c>
      <c r="AK114" s="2" t="b">
        <f>AJ114&lt;=-$AH$128</f>
        <v>1</v>
      </c>
      <c r="AL114" s="1">
        <v>80</v>
      </c>
      <c r="AM114" s="4">
        <f t="shared" si="112"/>
        <v>-6.9354838709677438</v>
      </c>
      <c r="AN114" s="4">
        <f t="shared" si="92"/>
        <v>-139.06986788603024</v>
      </c>
      <c r="AO114" s="2" t="b">
        <f>AN114&lt;=-$AL$128</f>
        <v>1</v>
      </c>
      <c r="AP114" s="1">
        <v>69</v>
      </c>
      <c r="AQ114" s="4">
        <f t="shared" si="113"/>
        <v>-21.193548387096769</v>
      </c>
      <c r="AR114" s="4">
        <f t="shared" si="93"/>
        <v>-514.36473877851995</v>
      </c>
      <c r="AS114" s="2" t="b">
        <f>AR114&lt;=-$AP$128</f>
        <v>1</v>
      </c>
      <c r="AT114" s="1">
        <v>78</v>
      </c>
      <c r="AU114" s="4">
        <f t="shared" si="114"/>
        <v>-8.4193548387096797</v>
      </c>
      <c r="AV114" s="4">
        <f t="shared" si="94"/>
        <v>-181.202978365029</v>
      </c>
      <c r="AW114" s="2" t="b">
        <f>AV114&lt;=-$AT$128</f>
        <v>1</v>
      </c>
      <c r="AX114" s="1">
        <v>72</v>
      </c>
      <c r="AY114" s="4">
        <f t="shared" si="115"/>
        <v>-17.161290322580641</v>
      </c>
      <c r="AZ114" s="4">
        <f t="shared" si="95"/>
        <v>-459.12676603270035</v>
      </c>
      <c r="BA114" s="2" t="b">
        <f>AZ114&lt;=-$AX$128</f>
        <v>1</v>
      </c>
      <c r="BB114" s="1">
        <v>71</v>
      </c>
      <c r="BC114" s="4">
        <f t="shared" si="116"/>
        <v>-15.645161290322577</v>
      </c>
      <c r="BD114" s="4">
        <f t="shared" si="96"/>
        <v>-471.73143864200654</v>
      </c>
      <c r="BE114" s="2" t="b">
        <f>BD114&lt;=-$BB$128</f>
        <v>1</v>
      </c>
      <c r="BF114" s="1">
        <v>80</v>
      </c>
      <c r="BG114" s="4">
        <f t="shared" si="117"/>
        <v>-11.258064516129039</v>
      </c>
      <c r="BH114" s="4">
        <f t="shared" si="97"/>
        <v>-292.96023926304423</v>
      </c>
      <c r="BI114" s="2" t="b">
        <f>BH114&lt;=-$BF$128</f>
        <v>1</v>
      </c>
      <c r="BJ114" s="1">
        <v>63</v>
      </c>
      <c r="BK114" s="4">
        <f t="shared" si="118"/>
        <v>-28.935483870967744</v>
      </c>
      <c r="BL114" s="4">
        <f t="shared" si="98"/>
        <v>-576.5490262683054</v>
      </c>
      <c r="BM114" s="2" t="b">
        <f>BL114&lt;=-$BJ$128</f>
        <v>1</v>
      </c>
      <c r="BN114" s="1">
        <v>76</v>
      </c>
      <c r="BO114" s="4">
        <f t="shared" si="119"/>
        <v>-18.096774193548384</v>
      </c>
      <c r="BP114" s="4">
        <f t="shared" si="99"/>
        <v>-743.53149769813206</v>
      </c>
      <c r="BQ114" s="2" t="b">
        <f>BP114&lt;=-$BN$128</f>
        <v>1</v>
      </c>
      <c r="BR114" s="1">
        <v>72</v>
      </c>
      <c r="BS114" s="4">
        <f t="shared" si="120"/>
        <v>-12.709677419354833</v>
      </c>
      <c r="BT114" s="4">
        <f t="shared" si="100"/>
        <v>-196.03235589767948</v>
      </c>
      <c r="BU114" s="2" t="b">
        <f>BT114&lt;=-$BR$128</f>
        <v>1</v>
      </c>
      <c r="BV114" s="1">
        <v>77</v>
      </c>
      <c r="BW114" s="2">
        <f t="shared" si="121"/>
        <v>-9.6129032258064484</v>
      </c>
      <c r="BX114" s="4">
        <f t="shared" si="101"/>
        <v>-207.19404349135527</v>
      </c>
      <c r="BY114" s="2" t="b">
        <f>BX114&lt;=-$BV$128</f>
        <v>1</v>
      </c>
      <c r="BZ114" s="1">
        <v>76</v>
      </c>
      <c r="CA114" s="2">
        <f t="shared" si="122"/>
        <v>-14.064516129032256</v>
      </c>
      <c r="CB114" s="4">
        <f t="shared" si="102"/>
        <v>-552.11831422803846</v>
      </c>
      <c r="CC114" s="2" t="b">
        <f>CB114&lt;=-$BZ$128</f>
        <v>1</v>
      </c>
    </row>
    <row r="115" spans="1:81" x14ac:dyDescent="0.2">
      <c r="A115" s="3">
        <v>45952</v>
      </c>
      <c r="B115" s="1">
        <v>81</v>
      </c>
      <c r="C115" s="2">
        <f t="shared" si="103"/>
        <v>-10.193548387096769</v>
      </c>
      <c r="D115" s="4">
        <f t="shared" si="83"/>
        <v>-610.83691468712789</v>
      </c>
      <c r="E115" s="2" t="b">
        <f>D115&lt;=-$B$128</f>
        <v>1</v>
      </c>
      <c r="F115" s="1">
        <v>62</v>
      </c>
      <c r="G115" s="4">
        <f t="shared" si="104"/>
        <v>-25.258064516129039</v>
      </c>
      <c r="H115" s="4">
        <f t="shared" si="84"/>
        <v>-353.38233949387831</v>
      </c>
      <c r="I115" s="2" t="b">
        <f>H115&lt;=-$F$128</f>
        <v>1</v>
      </c>
      <c r="J115" s="1">
        <v>63</v>
      </c>
      <c r="K115" s="4">
        <f t="shared" si="105"/>
        <v>-26.709677419354833</v>
      </c>
      <c r="L115" s="4">
        <f t="shared" si="85"/>
        <v>-432.79022864173078</v>
      </c>
      <c r="M115" s="2" t="b">
        <f>L115&lt;=-$J$128</f>
        <v>1</v>
      </c>
      <c r="N115" s="1">
        <v>73</v>
      </c>
      <c r="O115" s="4">
        <f t="shared" si="106"/>
        <v>-14.645161290322577</v>
      </c>
      <c r="P115" s="4">
        <f t="shared" si="86"/>
        <v>-388.89591286655161</v>
      </c>
      <c r="Q115" s="2" t="b">
        <f>P115&lt;=-$N$128</f>
        <v>1</v>
      </c>
      <c r="R115" s="1">
        <v>79</v>
      </c>
      <c r="S115" s="4">
        <f t="shared" si="107"/>
        <v>-12.741935483870961</v>
      </c>
      <c r="T115" s="4">
        <f t="shared" si="87"/>
        <v>-652.3653827823166</v>
      </c>
      <c r="U115" s="2" t="b">
        <f>T115&lt;=-$R$128</f>
        <v>1</v>
      </c>
      <c r="V115" s="1">
        <v>80</v>
      </c>
      <c r="W115" s="4">
        <f t="shared" si="108"/>
        <v>-6.7419354838709609</v>
      </c>
      <c r="X115" s="4">
        <f t="shared" si="88"/>
        <v>-410.54486678100716</v>
      </c>
      <c r="Y115" s="2" t="b">
        <f>X115&lt;=-$V$128</f>
        <v>1</v>
      </c>
      <c r="Z115" s="1">
        <v>64</v>
      </c>
      <c r="AA115" s="4">
        <f t="shared" si="109"/>
        <v>-25.258064516129039</v>
      </c>
      <c r="AB115" s="4">
        <f t="shared" si="89"/>
        <v>-430.0806324747129</v>
      </c>
      <c r="AC115" s="2" t="b">
        <f>AB115&lt;=-$Z$128</f>
        <v>1</v>
      </c>
      <c r="AD115" s="1">
        <v>78</v>
      </c>
      <c r="AE115" s="4">
        <f t="shared" si="110"/>
        <v>-7.5806451612903203</v>
      </c>
      <c r="AF115" s="4">
        <f t="shared" si="90"/>
        <v>-331.25900807734223</v>
      </c>
      <c r="AG115" s="2" t="b">
        <f>AF115&lt;=-$AD$128</f>
        <v>1</v>
      </c>
      <c r="AH115" s="1">
        <v>73</v>
      </c>
      <c r="AI115" s="4">
        <f t="shared" si="111"/>
        <v>-14.838709677419359</v>
      </c>
      <c r="AJ115" s="4">
        <f t="shared" si="91"/>
        <v>-543.54167739896957</v>
      </c>
      <c r="AK115" s="2" t="b">
        <f>AJ115&lt;=-$AH$128</f>
        <v>1</v>
      </c>
      <c r="AL115" s="1">
        <v>67</v>
      </c>
      <c r="AM115" s="4">
        <f t="shared" si="112"/>
        <v>-19.935483870967744</v>
      </c>
      <c r="AN115" s="4">
        <f t="shared" si="92"/>
        <v>-156.80332434318524</v>
      </c>
      <c r="AO115" s="2" t="b">
        <f>AN115&lt;=-$AL$128</f>
        <v>1</v>
      </c>
      <c r="AP115" s="1">
        <v>70</v>
      </c>
      <c r="AQ115" s="4">
        <f t="shared" si="113"/>
        <v>-20.193548387096769</v>
      </c>
      <c r="AR115" s="4">
        <f t="shared" si="93"/>
        <v>-532.43924903933282</v>
      </c>
      <c r="AS115" s="2" t="b">
        <f>AR115&lt;=-$AP$128</f>
        <v>1</v>
      </c>
      <c r="AT115" s="1">
        <v>72</v>
      </c>
      <c r="AU115" s="4">
        <f t="shared" si="114"/>
        <v>-14.41935483870968</v>
      </c>
      <c r="AV115" s="4">
        <f t="shared" si="94"/>
        <v>-193.94516200621396</v>
      </c>
      <c r="AW115" s="2" t="b">
        <f>AV115&lt;=-$AT$128</f>
        <v>1</v>
      </c>
      <c r="AX115" s="1">
        <v>68</v>
      </c>
      <c r="AY115" s="4">
        <f t="shared" si="115"/>
        <v>-21.161290322580641</v>
      </c>
      <c r="AZ115" s="4">
        <f t="shared" si="95"/>
        <v>-478.91512291313637</v>
      </c>
      <c r="BA115" s="2" t="b">
        <f>AZ115&lt;=-$AX$128</f>
        <v>1</v>
      </c>
      <c r="BB115" s="1">
        <v>74</v>
      </c>
      <c r="BC115" s="4">
        <f t="shared" si="116"/>
        <v>-12.645161290322577</v>
      </c>
      <c r="BD115" s="4">
        <f t="shared" si="96"/>
        <v>-482.53021433204236</v>
      </c>
      <c r="BE115" s="2" t="b">
        <f>BD115&lt;=-$BB$128</f>
        <v>1</v>
      </c>
      <c r="BF115" s="1">
        <v>78</v>
      </c>
      <c r="BG115" s="4">
        <f t="shared" si="117"/>
        <v>-13.258064516129039</v>
      </c>
      <c r="BH115" s="4">
        <f t="shared" si="97"/>
        <v>-304.18947923469977</v>
      </c>
      <c r="BI115" s="2" t="b">
        <f>BH115&lt;=-$BF$128</f>
        <v>1</v>
      </c>
      <c r="BJ115" s="1">
        <v>68</v>
      </c>
      <c r="BK115" s="4">
        <f t="shared" si="118"/>
        <v>-23.935483870967744</v>
      </c>
      <c r="BL115" s="4">
        <f t="shared" si="98"/>
        <v>-598.74796431556183</v>
      </c>
      <c r="BM115" s="2" t="b">
        <f>BL115&lt;=-$BJ$128</f>
        <v>1</v>
      </c>
      <c r="BN115" s="1">
        <v>79</v>
      </c>
      <c r="BO115" s="4">
        <f t="shared" si="119"/>
        <v>-15.096774193548384</v>
      </c>
      <c r="BP115" s="4">
        <f t="shared" si="99"/>
        <v>-756.33569387152613</v>
      </c>
      <c r="BQ115" s="2" t="b">
        <f>BP115&lt;=-$BN$128</f>
        <v>1</v>
      </c>
      <c r="BR115" s="1">
        <v>69</v>
      </c>
      <c r="BS115" s="4">
        <f t="shared" si="120"/>
        <v>-15.709677419354833</v>
      </c>
      <c r="BT115" s="4">
        <f t="shared" si="100"/>
        <v>-209.80470892332747</v>
      </c>
      <c r="BU115" s="2" t="b">
        <f>BT115&lt;=-$BR$128</f>
        <v>1</v>
      </c>
      <c r="BV115" s="1">
        <v>70</v>
      </c>
      <c r="BW115" s="2">
        <f t="shared" si="121"/>
        <v>-16.612903225806448</v>
      </c>
      <c r="BX115" s="4">
        <f t="shared" si="101"/>
        <v>-222.01493937270675</v>
      </c>
      <c r="BY115" s="2" t="b">
        <f>BX115&lt;=-$BV$128</f>
        <v>1</v>
      </c>
      <c r="BZ115" s="1">
        <v>79</v>
      </c>
      <c r="CA115" s="2">
        <f t="shared" si="122"/>
        <v>-11.064516129032256</v>
      </c>
      <c r="CB115" s="4">
        <f t="shared" si="102"/>
        <v>-561.40361946517248</v>
      </c>
      <c r="CC115" s="2" t="b">
        <f>CB115&lt;=-$BZ$128</f>
        <v>1</v>
      </c>
    </row>
    <row r="116" spans="1:81" x14ac:dyDescent="0.2">
      <c r="A116" s="3">
        <v>45953</v>
      </c>
      <c r="B116" s="1">
        <v>69</v>
      </c>
      <c r="C116" s="2">
        <f t="shared" si="103"/>
        <v>-22.193548387096769</v>
      </c>
      <c r="D116" s="4">
        <f t="shared" si="83"/>
        <v>-630.57954707254032</v>
      </c>
      <c r="E116" s="2" t="b">
        <f>D116&lt;=-$B$128</f>
        <v>1</v>
      </c>
      <c r="F116" s="1">
        <v>63</v>
      </c>
      <c r="G116" s="4">
        <f t="shared" si="104"/>
        <v>-24.258064516129039</v>
      </c>
      <c r="H116" s="4">
        <f t="shared" si="84"/>
        <v>-375.42693109045501</v>
      </c>
      <c r="I116" s="2" t="b">
        <f>H116&lt;=-$F$128</f>
        <v>1</v>
      </c>
      <c r="J116" s="1">
        <v>63</v>
      </c>
      <c r="K116" s="4">
        <f t="shared" si="105"/>
        <v>-26.709677419354833</v>
      </c>
      <c r="L116" s="4">
        <f t="shared" si="85"/>
        <v>-457.97678673774999</v>
      </c>
      <c r="M116" s="2" t="b">
        <f>L116&lt;=-$J$128</f>
        <v>1</v>
      </c>
      <c r="N116" s="1">
        <v>57</v>
      </c>
      <c r="O116" s="4">
        <f t="shared" si="106"/>
        <v>-30.645161290322577</v>
      </c>
      <c r="P116" s="4">
        <f t="shared" si="86"/>
        <v>-416.6498564575395</v>
      </c>
      <c r="Q116" s="2" t="b">
        <f>P116&lt;=-$N$128</f>
        <v>1</v>
      </c>
      <c r="R116" s="1">
        <v>75</v>
      </c>
      <c r="S116" s="4">
        <f t="shared" si="107"/>
        <v>-16.741935483870961</v>
      </c>
      <c r="T116" s="4">
        <f t="shared" si="87"/>
        <v>-666.35363061161877</v>
      </c>
      <c r="U116" s="2" t="b">
        <f>T116&lt;=-$R$128</f>
        <v>1</v>
      </c>
      <c r="V116" s="1">
        <v>81</v>
      </c>
      <c r="W116" s="4">
        <f t="shared" si="108"/>
        <v>-5.7419354838709609</v>
      </c>
      <c r="X116" s="4">
        <f t="shared" si="88"/>
        <v>-414.98316797352516</v>
      </c>
      <c r="Y116" s="2" t="b">
        <f>X116&lt;=-$V$128</f>
        <v>1</v>
      </c>
      <c r="Z116" s="1">
        <v>59</v>
      </c>
      <c r="AA116" s="4">
        <f t="shared" si="109"/>
        <v>-30.258064516129039</v>
      </c>
      <c r="AB116" s="4">
        <f t="shared" si="89"/>
        <v>-458.46801199181311</v>
      </c>
      <c r="AC116" s="2" t="b">
        <f>AB116&lt;=-$Z$128</f>
        <v>1</v>
      </c>
      <c r="AD116" s="1">
        <v>78</v>
      </c>
      <c r="AE116" s="4">
        <f t="shared" si="110"/>
        <v>-7.5806451612903203</v>
      </c>
      <c r="AF116" s="4">
        <f t="shared" si="90"/>
        <v>-337.09430612154097</v>
      </c>
      <c r="AG116" s="2" t="b">
        <f>AF116&lt;=-$AD$128</f>
        <v>1</v>
      </c>
      <c r="AH116" s="1">
        <v>70</v>
      </c>
      <c r="AI116" s="4">
        <f t="shared" si="111"/>
        <v>-17.838709677419359</v>
      </c>
      <c r="AJ116" s="4">
        <f t="shared" si="91"/>
        <v>-559.830673263059</v>
      </c>
      <c r="AK116" s="2" t="b">
        <f>AJ116&lt;=-$AH$128</f>
        <v>1</v>
      </c>
      <c r="AL116" s="1">
        <v>70</v>
      </c>
      <c r="AM116" s="4">
        <f t="shared" si="112"/>
        <v>-16.935483870967744</v>
      </c>
      <c r="AN116" s="4">
        <f t="shared" si="92"/>
        <v>-171.53678080034024</v>
      </c>
      <c r="AO116" s="2" t="b">
        <f>AN116&lt;=-$AL$128</f>
        <v>1</v>
      </c>
      <c r="AP116" s="1">
        <v>53</v>
      </c>
      <c r="AQ116" s="4">
        <f t="shared" si="113"/>
        <v>-37.193548387096769</v>
      </c>
      <c r="AR116" s="4">
        <f t="shared" si="93"/>
        <v>-567.51375930014558</v>
      </c>
      <c r="AS116" s="2" t="b">
        <f>AR116&lt;=-$AP$128</f>
        <v>1</v>
      </c>
      <c r="AT116" s="1">
        <v>81</v>
      </c>
      <c r="AU116" s="4">
        <f t="shared" si="114"/>
        <v>-5.4193548387096797</v>
      </c>
      <c r="AV116" s="4">
        <f t="shared" si="94"/>
        <v>-197.68734564739893</v>
      </c>
      <c r="AW116" s="2" t="b">
        <f>AV116&lt;=-$AT$128</f>
        <v>1</v>
      </c>
      <c r="AX116" s="1">
        <v>62</v>
      </c>
      <c r="AY116" s="4">
        <f t="shared" si="115"/>
        <v>-27.161290322580641</v>
      </c>
      <c r="AZ116" s="4">
        <f t="shared" si="95"/>
        <v>-504.7034797935724</v>
      </c>
      <c r="BA116" s="2" t="b">
        <f>AZ116&lt;=-$AX$128</f>
        <v>1</v>
      </c>
      <c r="BB116" s="1">
        <v>72</v>
      </c>
      <c r="BC116" s="4">
        <f t="shared" si="116"/>
        <v>-14.645161290322577</v>
      </c>
      <c r="BD116" s="4">
        <f t="shared" si="96"/>
        <v>-495.32899002207819</v>
      </c>
      <c r="BE116" s="2" t="b">
        <f>BD116&lt;=-$BB$128</f>
        <v>1</v>
      </c>
      <c r="BF116" s="1">
        <v>76</v>
      </c>
      <c r="BG116" s="4">
        <f t="shared" si="117"/>
        <v>-15.258064516129039</v>
      </c>
      <c r="BH116" s="4">
        <f t="shared" si="97"/>
        <v>-317.41871920635532</v>
      </c>
      <c r="BI116" s="2" t="b">
        <f>BH116&lt;=-$BF$128</f>
        <v>1</v>
      </c>
      <c r="BJ116" s="1">
        <v>70</v>
      </c>
      <c r="BK116" s="4">
        <f t="shared" si="118"/>
        <v>-21.935483870967744</v>
      </c>
      <c r="BL116" s="4">
        <f t="shared" si="98"/>
        <v>-618.94690236281826</v>
      </c>
      <c r="BM116" s="2" t="b">
        <f>BL116&lt;=-$BJ$128</f>
        <v>1</v>
      </c>
      <c r="BN116" s="1">
        <v>78</v>
      </c>
      <c r="BO116" s="4">
        <f t="shared" si="119"/>
        <v>-16.096774193548384</v>
      </c>
      <c r="BP116" s="4">
        <f t="shared" si="99"/>
        <v>-770.13989004492021</v>
      </c>
      <c r="BQ116" s="2" t="b">
        <f>BP116&lt;=-$BN$128</f>
        <v>1</v>
      </c>
      <c r="BR116" s="1">
        <v>63</v>
      </c>
      <c r="BS116" s="4">
        <f t="shared" si="120"/>
        <v>-21.709677419354833</v>
      </c>
      <c r="BT116" s="4">
        <f t="shared" si="100"/>
        <v>-229.57706194897546</v>
      </c>
      <c r="BU116" s="2" t="b">
        <f>BT116&lt;=-$BR$128</f>
        <v>1</v>
      </c>
      <c r="BV116" s="1">
        <v>72</v>
      </c>
      <c r="BW116" s="2">
        <f t="shared" si="121"/>
        <v>-14.612903225806448</v>
      </c>
      <c r="BX116" s="4">
        <f t="shared" si="101"/>
        <v>-234.83583525405822</v>
      </c>
      <c r="BY116" s="2" t="b">
        <f>BX116&lt;=-$BV$128</f>
        <v>1</v>
      </c>
      <c r="BZ116" s="1">
        <v>81</v>
      </c>
      <c r="CA116" s="2">
        <f t="shared" si="122"/>
        <v>-9.0645161290322562</v>
      </c>
      <c r="CB116" s="4">
        <f t="shared" si="102"/>
        <v>-568.68892470230651</v>
      </c>
      <c r="CC116" s="2" t="b">
        <f>CB116&lt;=-$BZ$128</f>
        <v>1</v>
      </c>
    </row>
    <row r="117" spans="1:81" x14ac:dyDescent="0.2">
      <c r="A117" s="3">
        <v>45954</v>
      </c>
      <c r="B117" s="1">
        <v>73</v>
      </c>
      <c r="C117" s="2">
        <f t="shared" si="103"/>
        <v>-18.193548387096769</v>
      </c>
      <c r="D117" s="4">
        <f t="shared" si="83"/>
        <v>-646.32217945795276</v>
      </c>
      <c r="E117" s="2" t="b">
        <f>D117&lt;=-$B$128</f>
        <v>1</v>
      </c>
      <c r="F117" s="1">
        <v>62</v>
      </c>
      <c r="G117" s="4">
        <f t="shared" si="104"/>
        <v>-25.258064516129039</v>
      </c>
      <c r="H117" s="4">
        <f t="shared" si="84"/>
        <v>-398.47152268703172</v>
      </c>
      <c r="I117" s="2" t="b">
        <f>H117&lt;=-$F$128</f>
        <v>1</v>
      </c>
      <c r="J117" s="1">
        <v>72</v>
      </c>
      <c r="K117" s="4">
        <f t="shared" si="105"/>
        <v>-17.709677419354833</v>
      </c>
      <c r="L117" s="4">
        <f t="shared" si="85"/>
        <v>-474.1633448337692</v>
      </c>
      <c r="M117" s="2" t="b">
        <f>L117&lt;=-$J$128</f>
        <v>1</v>
      </c>
      <c r="N117" s="1">
        <v>59</v>
      </c>
      <c r="O117" s="4">
        <f t="shared" si="106"/>
        <v>-28.645161290322577</v>
      </c>
      <c r="P117" s="4">
        <f t="shared" si="86"/>
        <v>-442.40380004852739</v>
      </c>
      <c r="Q117" s="2" t="b">
        <f>P117&lt;=-$N$128</f>
        <v>1</v>
      </c>
      <c r="R117" s="1">
        <v>75</v>
      </c>
      <c r="S117" s="4">
        <f t="shared" si="107"/>
        <v>-16.741935483870961</v>
      </c>
      <c r="T117" s="4">
        <f t="shared" si="87"/>
        <v>-680.34187844092094</v>
      </c>
      <c r="U117" s="2" t="b">
        <f>T117&lt;=-$R$128</f>
        <v>1</v>
      </c>
      <c r="V117" s="1">
        <v>79</v>
      </c>
      <c r="W117" s="4">
        <f t="shared" si="108"/>
        <v>-7.7419354838709609</v>
      </c>
      <c r="X117" s="4">
        <f t="shared" si="88"/>
        <v>-421.42146916604315</v>
      </c>
      <c r="Y117" s="2" t="b">
        <f>X117&lt;=-$V$128</f>
        <v>1</v>
      </c>
      <c r="Z117" s="1">
        <v>68</v>
      </c>
      <c r="AA117" s="4">
        <f t="shared" si="109"/>
        <v>-21.258064516129039</v>
      </c>
      <c r="AB117" s="4">
        <f t="shared" si="89"/>
        <v>-477.85539150891333</v>
      </c>
      <c r="AC117" s="2" t="b">
        <f>AB117&lt;=-$Z$128</f>
        <v>1</v>
      </c>
      <c r="AD117" s="1">
        <v>73</v>
      </c>
      <c r="AE117" s="4">
        <f t="shared" si="110"/>
        <v>-12.58064516129032</v>
      </c>
      <c r="AF117" s="4">
        <f t="shared" si="90"/>
        <v>-347.9296041657397</v>
      </c>
      <c r="AG117" s="2" t="b">
        <f>AF117&lt;=-$AD$128</f>
        <v>1</v>
      </c>
      <c r="AH117" s="1">
        <v>73</v>
      </c>
      <c r="AI117" s="4">
        <f t="shared" si="111"/>
        <v>-14.838709677419359</v>
      </c>
      <c r="AJ117" s="4">
        <f t="shared" si="91"/>
        <v>-573.11966912714843</v>
      </c>
      <c r="AK117" s="2" t="b">
        <f>AJ117&lt;=-$AH$128</f>
        <v>1</v>
      </c>
      <c r="AL117" s="1">
        <v>56</v>
      </c>
      <c r="AM117" s="4">
        <f t="shared" si="112"/>
        <v>-30.935483870967744</v>
      </c>
      <c r="AN117" s="4">
        <f t="shared" si="92"/>
        <v>-200.27023725749524</v>
      </c>
      <c r="AO117" s="2" t="b">
        <f>AN117&lt;=-$AL$128</f>
        <v>1</v>
      </c>
      <c r="AP117" s="1">
        <v>56</v>
      </c>
      <c r="AQ117" s="4">
        <f t="shared" si="113"/>
        <v>-34.193548387096769</v>
      </c>
      <c r="AR117" s="4">
        <f t="shared" si="93"/>
        <v>-599.58826956095834</v>
      </c>
      <c r="AS117" s="2" t="b">
        <f>AR117&lt;=-$AP$128</f>
        <v>1</v>
      </c>
      <c r="AT117" s="1">
        <v>59</v>
      </c>
      <c r="AU117" s="4">
        <f t="shared" si="114"/>
        <v>-27.41935483870968</v>
      </c>
      <c r="AV117" s="4">
        <f t="shared" si="94"/>
        <v>-223.42952928858389</v>
      </c>
      <c r="AW117" s="2" t="b">
        <f>AV117&lt;=-$AT$128</f>
        <v>1</v>
      </c>
      <c r="AX117" s="1">
        <v>54</v>
      </c>
      <c r="AY117" s="4">
        <f t="shared" si="115"/>
        <v>-35.161290322580641</v>
      </c>
      <c r="AZ117" s="4">
        <f t="shared" si="95"/>
        <v>-538.49183667400837</v>
      </c>
      <c r="BA117" s="2" t="b">
        <f>AZ117&lt;=-$AX$128</f>
        <v>1</v>
      </c>
      <c r="BB117" s="1">
        <v>69</v>
      </c>
      <c r="BC117" s="4">
        <f t="shared" si="116"/>
        <v>-17.645161290322577</v>
      </c>
      <c r="BD117" s="4">
        <f t="shared" si="96"/>
        <v>-511.12776571211401</v>
      </c>
      <c r="BE117" s="2" t="b">
        <f>BD117&lt;=-$BB$128</f>
        <v>1</v>
      </c>
      <c r="BF117" s="1">
        <v>81</v>
      </c>
      <c r="BG117" s="4">
        <f t="shared" si="117"/>
        <v>-10.258064516129039</v>
      </c>
      <c r="BH117" s="4">
        <f t="shared" si="97"/>
        <v>-325.64795917801086</v>
      </c>
      <c r="BI117" s="2" t="b">
        <f>BH117&lt;=-$BF$128</f>
        <v>1</v>
      </c>
      <c r="BJ117" s="1">
        <v>73</v>
      </c>
      <c r="BK117" s="4">
        <f t="shared" si="118"/>
        <v>-18.935483870967744</v>
      </c>
      <c r="BL117" s="4">
        <f t="shared" si="98"/>
        <v>-636.1458404100747</v>
      </c>
      <c r="BM117" s="2" t="b">
        <f>BL117&lt;=-$BJ$128</f>
        <v>1</v>
      </c>
      <c r="BN117" s="1">
        <v>79</v>
      </c>
      <c r="BO117" s="4">
        <f t="shared" si="119"/>
        <v>-15.096774193548384</v>
      </c>
      <c r="BP117" s="4">
        <f t="shared" si="99"/>
        <v>-782.94408621831428</v>
      </c>
      <c r="BQ117" s="2" t="b">
        <f>BP117&lt;=-$BN$128</f>
        <v>1</v>
      </c>
      <c r="BR117" s="1">
        <v>66</v>
      </c>
      <c r="BS117" s="4">
        <f t="shared" si="120"/>
        <v>-18.709677419354833</v>
      </c>
      <c r="BT117" s="4">
        <f t="shared" si="100"/>
        <v>-246.34941497462344</v>
      </c>
      <c r="BU117" s="2" t="b">
        <f>BT117&lt;=-$BR$128</f>
        <v>1</v>
      </c>
      <c r="BV117" s="1">
        <v>74</v>
      </c>
      <c r="BW117" s="2">
        <f t="shared" si="121"/>
        <v>-12.612903225806448</v>
      </c>
      <c r="BX117" s="4">
        <f t="shared" si="101"/>
        <v>-245.6567311354097</v>
      </c>
      <c r="BY117" s="2" t="b">
        <f>BX117&lt;=-$BV$128</f>
        <v>1</v>
      </c>
      <c r="BZ117" s="1">
        <v>76</v>
      </c>
      <c r="CA117" s="2">
        <f t="shared" si="122"/>
        <v>-14.064516129032256</v>
      </c>
      <c r="CB117" s="4">
        <f t="shared" si="102"/>
        <v>-580.97422993944053</v>
      </c>
      <c r="CC117" s="2" t="b">
        <f>CB117&lt;=-$BZ$128</f>
        <v>1</v>
      </c>
    </row>
    <row r="118" spans="1:81" x14ac:dyDescent="0.2">
      <c r="A118" s="3">
        <v>45955</v>
      </c>
      <c r="B118" s="1">
        <v>73</v>
      </c>
      <c r="C118" s="2">
        <f t="shared" si="103"/>
        <v>-18.193548387096769</v>
      </c>
      <c r="D118" s="4">
        <f t="shared" si="83"/>
        <v>-662.06481184336519</v>
      </c>
      <c r="E118" s="2" t="b">
        <f>D118&lt;=-$B$128</f>
        <v>1</v>
      </c>
      <c r="F118" s="1">
        <v>75</v>
      </c>
      <c r="G118" s="4">
        <f t="shared" si="104"/>
        <v>-12.258064516129039</v>
      </c>
      <c r="H118" s="4">
        <f t="shared" si="84"/>
        <v>-408.51611428360843</v>
      </c>
      <c r="I118" s="2" t="b">
        <f>H118&lt;=-$F$128</f>
        <v>1</v>
      </c>
      <c r="J118" s="1">
        <v>75</v>
      </c>
      <c r="K118" s="4">
        <f t="shared" si="105"/>
        <v>-14.709677419354833</v>
      </c>
      <c r="L118" s="4">
        <f t="shared" si="85"/>
        <v>-487.34990292978841</v>
      </c>
      <c r="M118" s="2" t="b">
        <f>L118&lt;=-$J$128</f>
        <v>1</v>
      </c>
      <c r="N118" s="1">
        <v>64</v>
      </c>
      <c r="O118" s="4">
        <f t="shared" si="106"/>
        <v>-23.645161290322577</v>
      </c>
      <c r="P118" s="4">
        <f t="shared" si="86"/>
        <v>-463.15774363951527</v>
      </c>
      <c r="Q118" s="2" t="b">
        <f>P118&lt;=-$N$128</f>
        <v>1</v>
      </c>
      <c r="R118" s="1">
        <v>78</v>
      </c>
      <c r="S118" s="4">
        <f t="shared" si="107"/>
        <v>-13.741935483870961</v>
      </c>
      <c r="T118" s="4">
        <f t="shared" si="87"/>
        <v>-691.3301262702231</v>
      </c>
      <c r="U118" s="2" t="b">
        <f>T118&lt;=-$R$128</f>
        <v>1</v>
      </c>
      <c r="V118" s="1">
        <v>73</v>
      </c>
      <c r="W118" s="4">
        <f t="shared" si="108"/>
        <v>-13.741935483870961</v>
      </c>
      <c r="X118" s="4">
        <f t="shared" si="88"/>
        <v>-433.85977035856115</v>
      </c>
      <c r="Y118" s="2" t="b">
        <f>X118&lt;=-$V$128</f>
        <v>1</v>
      </c>
      <c r="Z118" s="1">
        <v>60</v>
      </c>
      <c r="AA118" s="4">
        <f t="shared" si="109"/>
        <v>-29.258064516129039</v>
      </c>
      <c r="AB118" s="4">
        <f t="shared" si="89"/>
        <v>-505.24277102601354</v>
      </c>
      <c r="AC118" s="2" t="b">
        <f>AB118&lt;=-$Z$128</f>
        <v>1</v>
      </c>
      <c r="AD118" s="1">
        <v>73</v>
      </c>
      <c r="AE118" s="4">
        <f t="shared" si="110"/>
        <v>-12.58064516129032</v>
      </c>
      <c r="AF118" s="4">
        <f t="shared" si="90"/>
        <v>-358.76490220993844</v>
      </c>
      <c r="AG118" s="2" t="b">
        <f>AF118&lt;=-$AD$128</f>
        <v>1</v>
      </c>
      <c r="AH118" s="1">
        <v>78</v>
      </c>
      <c r="AI118" s="4">
        <f t="shared" si="111"/>
        <v>-9.8387096774193594</v>
      </c>
      <c r="AJ118" s="4">
        <f t="shared" si="91"/>
        <v>-581.40866499123786</v>
      </c>
      <c r="AK118" s="2" t="b">
        <f>AJ118&lt;=-$AH$128</f>
        <v>1</v>
      </c>
      <c r="AL118" s="1">
        <v>54</v>
      </c>
      <c r="AM118" s="4">
        <f t="shared" si="112"/>
        <v>-32.935483870967744</v>
      </c>
      <c r="AN118" s="4">
        <f t="shared" si="92"/>
        <v>-231.00369371465024</v>
      </c>
      <c r="AO118" s="2" t="b">
        <f>AN118&lt;=-$AL$128</f>
        <v>1</v>
      </c>
      <c r="AP118" s="1">
        <v>55</v>
      </c>
      <c r="AQ118" s="4">
        <f t="shared" si="113"/>
        <v>-35.193548387096769</v>
      </c>
      <c r="AR118" s="4">
        <f t="shared" si="93"/>
        <v>-632.6627798217711</v>
      </c>
      <c r="AS118" s="2" t="b">
        <f>AR118&lt;=-$AP$128</f>
        <v>1</v>
      </c>
      <c r="AT118" s="1">
        <v>61</v>
      </c>
      <c r="AU118" s="4">
        <f t="shared" si="114"/>
        <v>-25.41935483870968</v>
      </c>
      <c r="AV118" s="4">
        <f t="shared" si="94"/>
        <v>-247.17171292976886</v>
      </c>
      <c r="AW118" s="2" t="b">
        <f>AV118&lt;=-$AT$128</f>
        <v>1</v>
      </c>
      <c r="AX118" s="1">
        <v>67</v>
      </c>
      <c r="AY118" s="4">
        <f t="shared" si="115"/>
        <v>-22.161290322580641</v>
      </c>
      <c r="AZ118" s="4">
        <f t="shared" si="95"/>
        <v>-559.28019355444428</v>
      </c>
      <c r="BA118" s="2" t="b">
        <f>AZ118&lt;=-$AX$128</f>
        <v>1</v>
      </c>
      <c r="BB118" s="1">
        <v>65</v>
      </c>
      <c r="BC118" s="4">
        <f t="shared" si="116"/>
        <v>-21.645161290322577</v>
      </c>
      <c r="BD118" s="4">
        <f t="shared" si="96"/>
        <v>-530.92654140214984</v>
      </c>
      <c r="BE118" s="2" t="b">
        <f>BD118&lt;=-$BB$128</f>
        <v>1</v>
      </c>
      <c r="BF118" s="1">
        <v>76</v>
      </c>
      <c r="BG118" s="4">
        <f t="shared" si="117"/>
        <v>-15.258064516129039</v>
      </c>
      <c r="BH118" s="4">
        <f t="shared" si="97"/>
        <v>-338.87719914966641</v>
      </c>
      <c r="BI118" s="2" t="b">
        <f>BH118&lt;=-$BF$128</f>
        <v>1</v>
      </c>
      <c r="BJ118" s="1">
        <v>76</v>
      </c>
      <c r="BK118" s="4">
        <f t="shared" si="118"/>
        <v>-15.935483870967744</v>
      </c>
      <c r="BL118" s="4">
        <f t="shared" si="98"/>
        <v>-650.34477845733113</v>
      </c>
      <c r="BM118" s="2" t="b">
        <f>BL118&lt;=-$BJ$128</f>
        <v>1</v>
      </c>
      <c r="BN118" s="1">
        <v>80</v>
      </c>
      <c r="BO118" s="4">
        <f t="shared" si="119"/>
        <v>-14.096774193548384</v>
      </c>
      <c r="BP118" s="4">
        <f t="shared" si="99"/>
        <v>-794.74828239170836</v>
      </c>
      <c r="BQ118" s="2" t="b">
        <f>BP118&lt;=-$BN$128</f>
        <v>1</v>
      </c>
      <c r="BR118" s="1">
        <v>56</v>
      </c>
      <c r="BS118" s="4">
        <f t="shared" si="120"/>
        <v>-28.709677419354833</v>
      </c>
      <c r="BT118" s="4">
        <f t="shared" si="100"/>
        <v>-273.12176800027146</v>
      </c>
      <c r="BU118" s="2" t="b">
        <f>BT118&lt;=-$BR$128</f>
        <v>1</v>
      </c>
      <c r="BV118" s="1">
        <v>77</v>
      </c>
      <c r="BW118" s="2">
        <f t="shared" si="121"/>
        <v>-9.6129032258064484</v>
      </c>
      <c r="BX118" s="4">
        <f t="shared" si="101"/>
        <v>-253.47762701676118</v>
      </c>
      <c r="BY118" s="2" t="b">
        <f>BX118&lt;=-$BV$128</f>
        <v>1</v>
      </c>
      <c r="BZ118" s="1">
        <v>71</v>
      </c>
      <c r="CA118" s="2">
        <f t="shared" si="122"/>
        <v>-19.064516129032256</v>
      </c>
      <c r="CB118" s="4">
        <f t="shared" si="102"/>
        <v>-598.25953517657456</v>
      </c>
      <c r="CC118" s="2" t="b">
        <f>CB118&lt;=-$BZ$128</f>
        <v>1</v>
      </c>
    </row>
    <row r="119" spans="1:81" x14ac:dyDescent="0.2">
      <c r="A119" s="3">
        <v>45956</v>
      </c>
      <c r="B119" s="1">
        <v>75</v>
      </c>
      <c r="C119" s="2">
        <f t="shared" si="103"/>
        <v>-16.193548387096769</v>
      </c>
      <c r="D119" s="4">
        <f t="shared" si="83"/>
        <v>-675.80744422877763</v>
      </c>
      <c r="E119" s="2" t="b">
        <f>D119&lt;=-$B$128</f>
        <v>1</v>
      </c>
      <c r="F119" s="1">
        <v>71</v>
      </c>
      <c r="G119" s="4">
        <f t="shared" si="104"/>
        <v>-16.258064516129039</v>
      </c>
      <c r="H119" s="4">
        <f t="shared" si="84"/>
        <v>-422.56070588018514</v>
      </c>
      <c r="I119" s="2" t="b">
        <f>H119&lt;=-$F$128</f>
        <v>1</v>
      </c>
      <c r="J119" s="1">
        <v>79</v>
      </c>
      <c r="K119" s="4">
        <f t="shared" si="105"/>
        <v>-10.709677419354833</v>
      </c>
      <c r="L119" s="4">
        <f t="shared" si="85"/>
        <v>-496.53646102580763</v>
      </c>
      <c r="M119" s="2" t="b">
        <f>L119&lt;=-$J$128</f>
        <v>1</v>
      </c>
      <c r="N119" s="1">
        <v>69</v>
      </c>
      <c r="O119" s="4">
        <f t="shared" si="106"/>
        <v>-18.645161290322577</v>
      </c>
      <c r="P119" s="4">
        <f t="shared" si="86"/>
        <v>-478.91168723050316</v>
      </c>
      <c r="Q119" s="2" t="b">
        <f>P119&lt;=-$N$128</f>
        <v>1</v>
      </c>
      <c r="R119" s="1">
        <v>75</v>
      </c>
      <c r="S119" s="4">
        <f t="shared" si="107"/>
        <v>-16.741935483870961</v>
      </c>
      <c r="T119" s="4">
        <f t="shared" si="87"/>
        <v>-705.31837409952527</v>
      </c>
      <c r="U119" s="2" t="b">
        <f>T119&lt;=-$R$128</f>
        <v>1</v>
      </c>
      <c r="V119" s="1">
        <v>64</v>
      </c>
      <c r="W119" s="4">
        <f t="shared" si="108"/>
        <v>-22.741935483870961</v>
      </c>
      <c r="X119" s="4">
        <f t="shared" si="88"/>
        <v>-455.29807155107915</v>
      </c>
      <c r="Y119" s="2" t="b">
        <f>X119&lt;=-$V$128</f>
        <v>1</v>
      </c>
      <c r="Z119" s="1">
        <v>68</v>
      </c>
      <c r="AA119" s="4">
        <f t="shared" si="109"/>
        <v>-21.258064516129039</v>
      </c>
      <c r="AB119" s="4">
        <f t="shared" si="89"/>
        <v>-524.63015054311381</v>
      </c>
      <c r="AC119" s="2" t="b">
        <f>AB119&lt;=-$Z$128</f>
        <v>1</v>
      </c>
      <c r="AD119" s="1">
        <v>68</v>
      </c>
      <c r="AE119" s="4">
        <f t="shared" si="110"/>
        <v>-17.58064516129032</v>
      </c>
      <c r="AF119" s="4">
        <f t="shared" si="90"/>
        <v>-374.60020025413718</v>
      </c>
      <c r="AG119" s="2" t="b">
        <f>AF119&lt;=-$AD$128</f>
        <v>1</v>
      </c>
      <c r="AH119" s="1">
        <v>79</v>
      </c>
      <c r="AI119" s="4">
        <f t="shared" si="111"/>
        <v>-8.8387096774193594</v>
      </c>
      <c r="AJ119" s="4">
        <f t="shared" si="91"/>
        <v>-588.69766085532729</v>
      </c>
      <c r="AK119" s="2" t="b">
        <f>AJ119&lt;=-$AH$128</f>
        <v>1</v>
      </c>
      <c r="AL119" s="1">
        <v>61</v>
      </c>
      <c r="AM119" s="4">
        <f t="shared" si="112"/>
        <v>-25.935483870967744</v>
      </c>
      <c r="AN119" s="4">
        <f t="shared" si="92"/>
        <v>-254.73715017180524</v>
      </c>
      <c r="AO119" s="2" t="b">
        <f>AN119&lt;=-$AL$128</f>
        <v>1</v>
      </c>
      <c r="AP119" s="1">
        <v>62</v>
      </c>
      <c r="AQ119" s="4">
        <f t="shared" si="113"/>
        <v>-28.193548387096769</v>
      </c>
      <c r="AR119" s="4">
        <f t="shared" si="93"/>
        <v>-658.73729008258385</v>
      </c>
      <c r="AS119" s="2" t="b">
        <f>AR119&lt;=-$AP$128</f>
        <v>1</v>
      </c>
      <c r="AT119" s="1">
        <v>68</v>
      </c>
      <c r="AU119" s="4">
        <f t="shared" si="114"/>
        <v>-18.41935483870968</v>
      </c>
      <c r="AV119" s="4">
        <f t="shared" si="94"/>
        <v>-263.9138965709538</v>
      </c>
      <c r="AW119" s="2" t="b">
        <f>AV119&lt;=-$AT$128</f>
        <v>1</v>
      </c>
      <c r="AX119" s="1">
        <v>70</v>
      </c>
      <c r="AY119" s="4">
        <f t="shared" si="115"/>
        <v>-19.161290322580641</v>
      </c>
      <c r="AZ119" s="4">
        <f t="shared" si="95"/>
        <v>-577.06855043488019</v>
      </c>
      <c r="BA119" s="2" t="b">
        <f>AZ119&lt;=-$AX$128</f>
        <v>1</v>
      </c>
      <c r="BB119" s="1">
        <v>65</v>
      </c>
      <c r="BC119" s="4">
        <f t="shared" si="116"/>
        <v>-21.645161290322577</v>
      </c>
      <c r="BD119" s="4">
        <f t="shared" si="96"/>
        <v>-550.72531709218561</v>
      </c>
      <c r="BE119" s="2" t="b">
        <f>BD119&lt;=-$BB$128</f>
        <v>1</v>
      </c>
      <c r="BF119" s="1">
        <v>85</v>
      </c>
      <c r="BG119" s="4">
        <f t="shared" si="117"/>
        <v>-6.2580645161290391</v>
      </c>
      <c r="BH119" s="4">
        <f t="shared" si="97"/>
        <v>-343.10643912132196</v>
      </c>
      <c r="BI119" s="2" t="b">
        <f>BH119&lt;=-$BF$128</f>
        <v>1</v>
      </c>
      <c r="BJ119" s="1">
        <v>77</v>
      </c>
      <c r="BK119" s="4">
        <f t="shared" si="118"/>
        <v>-14.935483870967744</v>
      </c>
      <c r="BL119" s="4">
        <f t="shared" si="98"/>
        <v>-663.54371650458756</v>
      </c>
      <c r="BM119" s="2" t="b">
        <f>BL119&lt;=-$BJ$128</f>
        <v>1</v>
      </c>
      <c r="BN119" s="1">
        <v>80</v>
      </c>
      <c r="BO119" s="4">
        <f t="shared" si="119"/>
        <v>-14.096774193548384</v>
      </c>
      <c r="BP119" s="4">
        <f t="shared" si="99"/>
        <v>-806.55247856510243</v>
      </c>
      <c r="BQ119" s="2" t="b">
        <f>BP119&lt;=-$BN$128</f>
        <v>1</v>
      </c>
      <c r="BR119" s="1">
        <v>61</v>
      </c>
      <c r="BS119" s="4">
        <f t="shared" si="120"/>
        <v>-23.709677419354833</v>
      </c>
      <c r="BT119" s="4">
        <f t="shared" si="100"/>
        <v>-294.89412102591945</v>
      </c>
      <c r="BU119" s="2" t="b">
        <f>BT119&lt;=-$BR$128</f>
        <v>1</v>
      </c>
      <c r="BV119" s="1">
        <v>84</v>
      </c>
      <c r="BW119" s="2">
        <f t="shared" si="121"/>
        <v>-2.6129032258064484</v>
      </c>
      <c r="BX119" s="4">
        <f t="shared" si="101"/>
        <v>-254.29852289811265</v>
      </c>
      <c r="BY119" s="2" t="b">
        <f>BX119&lt;=-$BV$128</f>
        <v>1</v>
      </c>
      <c r="BZ119" s="1">
        <v>67</v>
      </c>
      <c r="CA119" s="2">
        <f t="shared" si="122"/>
        <v>-23.064516129032256</v>
      </c>
      <c r="CB119" s="4">
        <f t="shared" si="102"/>
        <v>-619.54484041370858</v>
      </c>
      <c r="CC119" s="2" t="b">
        <f>CB119&lt;=-$BZ$128</f>
        <v>1</v>
      </c>
    </row>
    <row r="120" spans="1:81" x14ac:dyDescent="0.2">
      <c r="A120" s="3">
        <v>45957</v>
      </c>
      <c r="B120" s="1">
        <v>75</v>
      </c>
      <c r="C120" s="2">
        <f t="shared" si="103"/>
        <v>-16.193548387096769</v>
      </c>
      <c r="D120" s="4">
        <f t="shared" si="83"/>
        <v>-689.55007661419006</v>
      </c>
      <c r="E120" s="2" t="b">
        <f>D120&lt;=-$B$128</f>
        <v>1</v>
      </c>
      <c r="F120" s="1">
        <v>57</v>
      </c>
      <c r="G120" s="4">
        <f t="shared" si="104"/>
        <v>-30.258064516129039</v>
      </c>
      <c r="H120" s="4">
        <f t="shared" si="84"/>
        <v>-450.60529747676185</v>
      </c>
      <c r="I120" s="2" t="b">
        <f>H120&lt;=-$F$128</f>
        <v>1</v>
      </c>
      <c r="J120" s="1">
        <v>79</v>
      </c>
      <c r="K120" s="4">
        <f t="shared" si="105"/>
        <v>-10.709677419354833</v>
      </c>
      <c r="L120" s="4">
        <f t="shared" si="85"/>
        <v>-505.72301912182684</v>
      </c>
      <c r="M120" s="2" t="b">
        <f>L120&lt;=-$J$128</f>
        <v>1</v>
      </c>
      <c r="N120" s="1">
        <v>75</v>
      </c>
      <c r="O120" s="4">
        <f t="shared" si="106"/>
        <v>-12.645161290322577</v>
      </c>
      <c r="P120" s="4">
        <f t="shared" si="86"/>
        <v>-488.66563082149105</v>
      </c>
      <c r="Q120" s="2" t="b">
        <f>P120&lt;=-$N$128</f>
        <v>1</v>
      </c>
      <c r="R120" s="1">
        <v>78</v>
      </c>
      <c r="S120" s="4">
        <f t="shared" si="107"/>
        <v>-13.741935483870961</v>
      </c>
      <c r="T120" s="4">
        <f t="shared" si="87"/>
        <v>-716.30662192882744</v>
      </c>
      <c r="U120" s="2" t="b">
        <f>T120&lt;=-$R$128</f>
        <v>1</v>
      </c>
      <c r="V120" s="1">
        <v>51</v>
      </c>
      <c r="W120" s="4">
        <f t="shared" si="108"/>
        <v>-35.741935483870961</v>
      </c>
      <c r="X120" s="4">
        <f t="shared" si="88"/>
        <v>-489.73637274359714</v>
      </c>
      <c r="Y120" s="2" t="b">
        <f>X120&lt;=-$V$128</f>
        <v>1</v>
      </c>
      <c r="Z120" s="1">
        <v>69</v>
      </c>
      <c r="AA120" s="4">
        <f t="shared" si="109"/>
        <v>-20.258064516129039</v>
      </c>
      <c r="AB120" s="4">
        <f t="shared" si="89"/>
        <v>-543.01753006021409</v>
      </c>
      <c r="AC120" s="2" t="b">
        <f>AB120&lt;=-$Z$128</f>
        <v>1</v>
      </c>
      <c r="AD120" s="1">
        <v>64</v>
      </c>
      <c r="AE120" s="4">
        <f t="shared" si="110"/>
        <v>-21.58064516129032</v>
      </c>
      <c r="AF120" s="4">
        <f t="shared" si="90"/>
        <v>-394.43549829833592</v>
      </c>
      <c r="AG120" s="2" t="b">
        <f>AF120&lt;=-$AD$128</f>
        <v>1</v>
      </c>
      <c r="AH120" s="1">
        <v>81</v>
      </c>
      <c r="AI120" s="4">
        <f t="shared" si="111"/>
        <v>-6.8387096774193594</v>
      </c>
      <c r="AJ120" s="4">
        <f t="shared" si="91"/>
        <v>-593.98665671941671</v>
      </c>
      <c r="AK120" s="2" t="b">
        <f>AJ120&lt;=-$AH$128</f>
        <v>1</v>
      </c>
      <c r="AL120" s="1">
        <v>63</v>
      </c>
      <c r="AM120" s="4">
        <f t="shared" si="112"/>
        <v>-23.935483870967744</v>
      </c>
      <c r="AN120" s="4">
        <f t="shared" si="92"/>
        <v>-276.47060662896024</v>
      </c>
      <c r="AO120" s="2" t="b">
        <f>AN120&lt;=-$AL$128</f>
        <v>1</v>
      </c>
      <c r="AP120" s="1">
        <v>66</v>
      </c>
      <c r="AQ120" s="4">
        <f t="shared" si="113"/>
        <v>-24.193548387096769</v>
      </c>
      <c r="AR120" s="4">
        <f t="shared" si="93"/>
        <v>-680.81180034339661</v>
      </c>
      <c r="AS120" s="2" t="b">
        <f>AR120&lt;=-$AP$128</f>
        <v>1</v>
      </c>
      <c r="AT120" s="1">
        <v>67</v>
      </c>
      <c r="AU120" s="4">
        <f t="shared" si="114"/>
        <v>-19.41935483870968</v>
      </c>
      <c r="AV120" s="4">
        <f t="shared" si="94"/>
        <v>-281.65608021213876</v>
      </c>
      <c r="AW120" s="2" t="b">
        <f>AV120&lt;=-$AT$128</f>
        <v>1</v>
      </c>
      <c r="AX120" s="1">
        <v>59</v>
      </c>
      <c r="AY120" s="4">
        <f t="shared" si="115"/>
        <v>-30.161290322580641</v>
      </c>
      <c r="AZ120" s="4">
        <f t="shared" si="95"/>
        <v>-605.85690731531611</v>
      </c>
      <c r="BA120" s="2" t="b">
        <f>AZ120&lt;=-$AX$128</f>
        <v>1</v>
      </c>
      <c r="BB120" s="1">
        <v>60</v>
      </c>
      <c r="BC120" s="4">
        <f t="shared" si="116"/>
        <v>-26.645161290322577</v>
      </c>
      <c r="BD120" s="4">
        <f t="shared" si="96"/>
        <v>-575.52409278222137</v>
      </c>
      <c r="BE120" s="2" t="b">
        <f>BD120&lt;=-$BB$128</f>
        <v>1</v>
      </c>
      <c r="BF120" s="1">
        <v>76</v>
      </c>
      <c r="BG120" s="4">
        <f t="shared" si="117"/>
        <v>-15.258064516129039</v>
      </c>
      <c r="BH120" s="4">
        <f t="shared" si="97"/>
        <v>-356.3356790929775</v>
      </c>
      <c r="BI120" s="2" t="b">
        <f>BH120&lt;=-$BF$128</f>
        <v>1</v>
      </c>
      <c r="BJ120" s="1">
        <v>79</v>
      </c>
      <c r="BK120" s="4">
        <f t="shared" si="118"/>
        <v>-12.935483870967744</v>
      </c>
      <c r="BL120" s="4">
        <f t="shared" si="98"/>
        <v>-674.742654551844</v>
      </c>
      <c r="BM120" s="2" t="b">
        <f>BL120&lt;=-$BJ$128</f>
        <v>1</v>
      </c>
      <c r="BN120" s="1">
        <v>70</v>
      </c>
      <c r="BO120" s="4">
        <f t="shared" si="119"/>
        <v>-24.096774193548384</v>
      </c>
      <c r="BP120" s="4">
        <f t="shared" si="99"/>
        <v>-828.35667473849651</v>
      </c>
      <c r="BQ120" s="2" t="b">
        <f>BP120&lt;=-$BN$128</f>
        <v>1</v>
      </c>
      <c r="BR120" s="1">
        <v>69</v>
      </c>
      <c r="BS120" s="4">
        <f t="shared" si="120"/>
        <v>-15.709677419354833</v>
      </c>
      <c r="BT120" s="4">
        <f t="shared" si="100"/>
        <v>-308.66647405156743</v>
      </c>
      <c r="BU120" s="2" t="b">
        <f>BT120&lt;=-$BR$128</f>
        <v>1</v>
      </c>
      <c r="BV120" s="1">
        <v>84</v>
      </c>
      <c r="BW120" s="2">
        <f t="shared" si="121"/>
        <v>-2.6129032258064484</v>
      </c>
      <c r="BX120" s="4">
        <f t="shared" si="101"/>
        <v>-255.11941877946413</v>
      </c>
      <c r="BY120" s="2" t="b">
        <f>BX120&lt;=-$BV$128</f>
        <v>1</v>
      </c>
      <c r="BZ120" s="1">
        <v>56</v>
      </c>
      <c r="CA120" s="2">
        <f t="shared" si="122"/>
        <v>-34.064516129032256</v>
      </c>
      <c r="CB120" s="4">
        <f t="shared" si="102"/>
        <v>-651.83014565084261</v>
      </c>
      <c r="CC120" s="2" t="b">
        <f>CB120&lt;=-$BZ$128</f>
        <v>1</v>
      </c>
    </row>
    <row r="121" spans="1:81" x14ac:dyDescent="0.2">
      <c r="A121" s="3">
        <v>45958</v>
      </c>
      <c r="B121" s="1">
        <v>81</v>
      </c>
      <c r="C121" s="2">
        <f t="shared" si="103"/>
        <v>-10.193548387096769</v>
      </c>
      <c r="D121" s="4">
        <f t="shared" si="83"/>
        <v>-697.2927089996025</v>
      </c>
      <c r="E121" s="2" t="b">
        <f>D121&lt;=-$B$128</f>
        <v>1</v>
      </c>
      <c r="F121" s="1">
        <v>55</v>
      </c>
      <c r="G121" s="4">
        <f t="shared" si="104"/>
        <v>-32.258064516129039</v>
      </c>
      <c r="H121" s="4">
        <f t="shared" si="84"/>
        <v>-480.64988907333856</v>
      </c>
      <c r="I121" s="2" t="b">
        <f>H121&lt;=-$F$128</f>
        <v>1</v>
      </c>
      <c r="J121" s="1">
        <v>79</v>
      </c>
      <c r="K121" s="4">
        <f t="shared" si="105"/>
        <v>-10.709677419354833</v>
      </c>
      <c r="L121" s="4">
        <f t="shared" si="85"/>
        <v>-514.90957721784616</v>
      </c>
      <c r="M121" s="2" t="b">
        <f>L121&lt;=-$J$128</f>
        <v>1</v>
      </c>
      <c r="N121" s="1">
        <v>73</v>
      </c>
      <c r="O121" s="4">
        <f t="shared" si="106"/>
        <v>-14.645161290322577</v>
      </c>
      <c r="P121" s="4">
        <f t="shared" si="86"/>
        <v>-500.41957441247894</v>
      </c>
      <c r="Q121" s="2" t="b">
        <f>P121&lt;=-$N$128</f>
        <v>1</v>
      </c>
      <c r="R121" s="1">
        <v>80</v>
      </c>
      <c r="S121" s="4">
        <f t="shared" si="107"/>
        <v>-11.741935483870961</v>
      </c>
      <c r="T121" s="4">
        <f t="shared" si="87"/>
        <v>-725.29486975812961</v>
      </c>
      <c r="U121" s="2" t="b">
        <f>T121&lt;=-$R$128</f>
        <v>1</v>
      </c>
      <c r="V121" s="1">
        <v>55</v>
      </c>
      <c r="W121" s="4">
        <f t="shared" si="108"/>
        <v>-31.741935483870961</v>
      </c>
      <c r="X121" s="4">
        <f t="shared" si="88"/>
        <v>-520.17467393611514</v>
      </c>
      <c r="Y121" s="2" t="b">
        <f>X121&lt;=-$V$128</f>
        <v>1</v>
      </c>
      <c r="Z121" s="1">
        <v>75</v>
      </c>
      <c r="AA121" s="4">
        <f t="shared" si="109"/>
        <v>-14.258064516129039</v>
      </c>
      <c r="AB121" s="4">
        <f t="shared" si="89"/>
        <v>-555.40490957731436</v>
      </c>
      <c r="AC121" s="2" t="b">
        <f>AB121&lt;=-$Z$128</f>
        <v>1</v>
      </c>
      <c r="AD121" s="1">
        <v>57</v>
      </c>
      <c r="AE121" s="4">
        <f t="shared" si="110"/>
        <v>-28.58064516129032</v>
      </c>
      <c r="AF121" s="4">
        <f t="shared" si="90"/>
        <v>-421.27079634253465</v>
      </c>
      <c r="AG121" s="2" t="b">
        <f>AF121&lt;=-$AD$128</f>
        <v>1</v>
      </c>
      <c r="AH121" s="1">
        <v>78</v>
      </c>
      <c r="AI121" s="4">
        <f t="shared" si="111"/>
        <v>-9.8387096774193594</v>
      </c>
      <c r="AJ121" s="4">
        <f t="shared" si="91"/>
        <v>-602.27565258350614</v>
      </c>
      <c r="AK121" s="2" t="b">
        <f>AJ121&lt;=-$AH$128</f>
        <v>1</v>
      </c>
      <c r="AL121" s="1">
        <v>62</v>
      </c>
      <c r="AM121" s="4">
        <f t="shared" si="112"/>
        <v>-24.935483870967744</v>
      </c>
      <c r="AN121" s="4">
        <f t="shared" si="92"/>
        <v>-299.20406308611524</v>
      </c>
      <c r="AO121" s="2" t="b">
        <f>AN121&lt;=-$AL$128</f>
        <v>1</v>
      </c>
      <c r="AP121" s="1">
        <v>63</v>
      </c>
      <c r="AQ121" s="4">
        <f t="shared" si="113"/>
        <v>-27.193548387096769</v>
      </c>
      <c r="AR121" s="4">
        <f t="shared" si="93"/>
        <v>-705.88631060420937</v>
      </c>
      <c r="AS121" s="2" t="b">
        <f>AR121&lt;=-$AP$128</f>
        <v>1</v>
      </c>
      <c r="AT121" s="1">
        <v>70</v>
      </c>
      <c r="AU121" s="4">
        <f t="shared" si="114"/>
        <v>-16.41935483870968</v>
      </c>
      <c r="AV121" s="4">
        <f t="shared" si="94"/>
        <v>-296.39826385332373</v>
      </c>
      <c r="AW121" s="2" t="b">
        <f>AV121&lt;=-$AT$128</f>
        <v>1</v>
      </c>
      <c r="AX121" s="1">
        <v>50</v>
      </c>
      <c r="AY121" s="4">
        <f t="shared" si="115"/>
        <v>-39.161290322580641</v>
      </c>
      <c r="AZ121" s="4">
        <f t="shared" si="95"/>
        <v>-643.64526419575202</v>
      </c>
      <c r="BA121" s="2" t="b">
        <f>AZ121&lt;=-$AX$128</f>
        <v>1</v>
      </c>
      <c r="BB121" s="1">
        <v>71</v>
      </c>
      <c r="BC121" s="4">
        <f t="shared" si="116"/>
        <v>-15.645161290322577</v>
      </c>
      <c r="BD121" s="4">
        <f t="shared" si="96"/>
        <v>-589.32286847225714</v>
      </c>
      <c r="BE121" s="2" t="b">
        <f>BD121&lt;=-$BB$128</f>
        <v>1</v>
      </c>
      <c r="BF121" s="1">
        <v>74</v>
      </c>
      <c r="BG121" s="4">
        <f t="shared" si="117"/>
        <v>-17.258064516129039</v>
      </c>
      <c r="BH121" s="4">
        <f t="shared" si="97"/>
        <v>-371.56491906463305</v>
      </c>
      <c r="BI121" s="2" t="b">
        <f>BH121&lt;=-$BF$128</f>
        <v>1</v>
      </c>
      <c r="BJ121" s="1">
        <v>74</v>
      </c>
      <c r="BK121" s="4">
        <f t="shared" si="118"/>
        <v>-17.935483870967744</v>
      </c>
      <c r="BL121" s="4">
        <f t="shared" si="98"/>
        <v>-690.94159259910043</v>
      </c>
      <c r="BM121" s="2" t="b">
        <f>BL121&lt;=-$BJ$128</f>
        <v>1</v>
      </c>
      <c r="BN121" s="1">
        <v>56</v>
      </c>
      <c r="BO121" s="4">
        <f t="shared" si="119"/>
        <v>-38.096774193548384</v>
      </c>
      <c r="BP121" s="4">
        <f t="shared" si="99"/>
        <v>-864.16087091189058</v>
      </c>
      <c r="BQ121" s="2" t="b">
        <f>BP121&lt;=-$BN$128</f>
        <v>1</v>
      </c>
      <c r="BR121" s="1">
        <v>64</v>
      </c>
      <c r="BS121" s="4">
        <f t="shared" si="120"/>
        <v>-20.709677419354833</v>
      </c>
      <c r="BT121" s="4">
        <f t="shared" si="100"/>
        <v>-327.43882707721542</v>
      </c>
      <c r="BU121" s="2" t="b">
        <f>BT121&lt;=-$BR$128</f>
        <v>1</v>
      </c>
      <c r="BV121" s="1">
        <v>77</v>
      </c>
      <c r="BW121" s="2">
        <f t="shared" si="121"/>
        <v>-9.6129032258064484</v>
      </c>
      <c r="BX121" s="4">
        <f t="shared" si="101"/>
        <v>-262.9403146608156</v>
      </c>
      <c r="BY121" s="2" t="b">
        <f>BX121&lt;=-$BV$128</f>
        <v>1</v>
      </c>
      <c r="BZ121" s="1">
        <v>78</v>
      </c>
      <c r="CA121" s="2">
        <f t="shared" si="122"/>
        <v>-12.064516129032256</v>
      </c>
      <c r="CB121" s="4">
        <f t="shared" si="102"/>
        <v>-662.11545088797664</v>
      </c>
      <c r="CC121" s="2" t="b">
        <f>CB121&lt;=-$BZ$128</f>
        <v>1</v>
      </c>
    </row>
    <row r="122" spans="1:81" x14ac:dyDescent="0.2">
      <c r="A122" s="3">
        <v>45959</v>
      </c>
      <c r="B122" s="1">
        <v>82</v>
      </c>
      <c r="C122" s="2">
        <f t="shared" si="103"/>
        <v>-9.1935483870967687</v>
      </c>
      <c r="D122" s="4">
        <f t="shared" si="83"/>
        <v>-704.03534138501493</v>
      </c>
      <c r="E122" s="2" t="b">
        <f>D122&lt;=-$B$128</f>
        <v>1</v>
      </c>
      <c r="F122" s="1">
        <v>64</v>
      </c>
      <c r="G122" s="4">
        <f t="shared" si="104"/>
        <v>-23.258064516129039</v>
      </c>
      <c r="H122" s="4">
        <f t="shared" si="84"/>
        <v>-501.69448066991527</v>
      </c>
      <c r="I122" s="2" t="b">
        <f>H122&lt;=-$F$128</f>
        <v>1</v>
      </c>
      <c r="J122" s="1">
        <v>78</v>
      </c>
      <c r="K122" s="4">
        <f t="shared" si="105"/>
        <v>-11.709677419354833</v>
      </c>
      <c r="L122" s="4">
        <f t="shared" si="85"/>
        <v>-525.09613531386549</v>
      </c>
      <c r="M122" s="2" t="b">
        <f>L122&lt;=-$J$128</f>
        <v>1</v>
      </c>
      <c r="N122" s="1">
        <v>72</v>
      </c>
      <c r="O122" s="4">
        <f t="shared" si="106"/>
        <v>-15.645161290322577</v>
      </c>
      <c r="P122" s="4">
        <f t="shared" si="86"/>
        <v>-513.17351800346682</v>
      </c>
      <c r="Q122" s="2" t="b">
        <f>P122&lt;=-$N$128</f>
        <v>1</v>
      </c>
      <c r="R122" s="1">
        <v>75</v>
      </c>
      <c r="S122" s="4">
        <f t="shared" si="107"/>
        <v>-16.741935483870961</v>
      </c>
      <c r="T122" s="4">
        <f t="shared" si="87"/>
        <v>-739.28311758743178</v>
      </c>
      <c r="U122" s="2" t="b">
        <f>T122&lt;=-$R$128</f>
        <v>1</v>
      </c>
      <c r="V122" s="1">
        <v>63</v>
      </c>
      <c r="W122" s="4">
        <f t="shared" si="108"/>
        <v>-23.741935483870961</v>
      </c>
      <c r="X122" s="4">
        <f t="shared" si="88"/>
        <v>-542.61297512863314</v>
      </c>
      <c r="Y122" s="2" t="b">
        <f>X122&lt;=-$V$128</f>
        <v>1</v>
      </c>
      <c r="Z122" s="1">
        <v>75</v>
      </c>
      <c r="AA122" s="4">
        <f t="shared" si="109"/>
        <v>-14.258064516129039</v>
      </c>
      <c r="AB122" s="4">
        <f t="shared" si="89"/>
        <v>-567.79228909441463</v>
      </c>
      <c r="AC122" s="2" t="b">
        <f>AB122&lt;=-$Z$128</f>
        <v>1</v>
      </c>
      <c r="AD122" s="1">
        <v>70</v>
      </c>
      <c r="AE122" s="4">
        <f t="shared" si="110"/>
        <v>-15.58064516129032</v>
      </c>
      <c r="AF122" s="4">
        <f t="shared" si="90"/>
        <v>-435.10609438673339</v>
      </c>
      <c r="AG122" s="2" t="b">
        <f>AF122&lt;=-$AD$128</f>
        <v>1</v>
      </c>
      <c r="AH122" s="1">
        <v>75</v>
      </c>
      <c r="AI122" s="4">
        <f t="shared" si="111"/>
        <v>-12.838709677419359</v>
      </c>
      <c r="AJ122" s="4">
        <f t="shared" si="91"/>
        <v>-613.56464844759557</v>
      </c>
      <c r="AK122" s="2" t="b">
        <f>AJ122&lt;=-$AH$128</f>
        <v>1</v>
      </c>
      <c r="AL122" s="1">
        <v>64</v>
      </c>
      <c r="AM122" s="4">
        <f t="shared" si="112"/>
        <v>-22.935483870967744</v>
      </c>
      <c r="AN122" s="4">
        <f t="shared" si="92"/>
        <v>-319.93751954327024</v>
      </c>
      <c r="AO122" s="2" t="b">
        <f>AN122&lt;=-$AL$128</f>
        <v>1</v>
      </c>
      <c r="AP122" s="1">
        <v>72</v>
      </c>
      <c r="AQ122" s="4">
        <f t="shared" si="113"/>
        <v>-18.193548387096769</v>
      </c>
      <c r="AR122" s="4">
        <f t="shared" si="93"/>
        <v>-721.96082086502213</v>
      </c>
      <c r="AS122" s="2" t="b">
        <f>AR122&lt;=-$AP$128</f>
        <v>1</v>
      </c>
      <c r="AT122" s="1">
        <v>62</v>
      </c>
      <c r="AU122" s="4">
        <f t="shared" si="114"/>
        <v>-24.41935483870968</v>
      </c>
      <c r="AV122" s="4">
        <f t="shared" si="94"/>
        <v>-319.14044749450869</v>
      </c>
      <c r="AW122" s="2" t="b">
        <f>AV122&lt;=-$AT$128</f>
        <v>1</v>
      </c>
      <c r="AX122" s="1">
        <v>59</v>
      </c>
      <c r="AY122" s="4">
        <f t="shared" si="115"/>
        <v>-30.161290322580641</v>
      </c>
      <c r="AZ122" s="4">
        <f t="shared" si="95"/>
        <v>-672.43362107618793</v>
      </c>
      <c r="BA122" s="2" t="b">
        <f>AZ122&lt;=-$AX$128</f>
        <v>1</v>
      </c>
      <c r="BB122" s="1">
        <v>75</v>
      </c>
      <c r="BC122" s="4">
        <f t="shared" si="116"/>
        <v>-11.645161290322577</v>
      </c>
      <c r="BD122" s="4">
        <f t="shared" si="96"/>
        <v>-599.12164416229291</v>
      </c>
      <c r="BE122" s="2" t="b">
        <f>BD122&lt;=-$BB$128</f>
        <v>1</v>
      </c>
      <c r="BF122" s="1">
        <v>68</v>
      </c>
      <c r="BG122" s="4">
        <f t="shared" si="117"/>
        <v>-23.258064516129039</v>
      </c>
      <c r="BH122" s="4">
        <f t="shared" si="97"/>
        <v>-392.79415903628859</v>
      </c>
      <c r="BI122" s="2" t="b">
        <f>BH122&lt;=-$BF$128</f>
        <v>1</v>
      </c>
      <c r="BJ122" s="1">
        <v>59</v>
      </c>
      <c r="BK122" s="4">
        <f t="shared" si="118"/>
        <v>-32.935483870967744</v>
      </c>
      <c r="BL122" s="4">
        <f t="shared" si="98"/>
        <v>-722.14053064635686</v>
      </c>
      <c r="BM122" s="2" t="b">
        <f>BL122&lt;=-$BJ$128</f>
        <v>1</v>
      </c>
      <c r="BN122" s="1">
        <v>56</v>
      </c>
      <c r="BO122" s="4">
        <f t="shared" si="119"/>
        <v>-38.096774193548384</v>
      </c>
      <c r="BP122" s="4">
        <f t="shared" si="99"/>
        <v>-899.96506708528466</v>
      </c>
      <c r="BQ122" s="2" t="b">
        <f>BP122&lt;=-$BN$128</f>
        <v>1</v>
      </c>
      <c r="BR122" s="1">
        <v>75</v>
      </c>
      <c r="BS122" s="4">
        <f t="shared" si="120"/>
        <v>-9.7096774193548328</v>
      </c>
      <c r="BT122" s="4">
        <f t="shared" si="100"/>
        <v>-335.21118010286341</v>
      </c>
      <c r="BU122" s="2" t="b">
        <f>BT122&lt;=-$BR$128</f>
        <v>1</v>
      </c>
      <c r="BV122" s="1">
        <v>73</v>
      </c>
      <c r="BW122" s="2">
        <f t="shared" si="121"/>
        <v>-13.612903225806448</v>
      </c>
      <c r="BX122" s="4">
        <f t="shared" si="101"/>
        <v>-274.76121054216708</v>
      </c>
      <c r="BY122" s="2" t="b">
        <f>BX122&lt;=-$BV$128</f>
        <v>1</v>
      </c>
      <c r="BZ122" s="1">
        <v>70</v>
      </c>
      <c r="CA122" s="2">
        <f t="shared" si="122"/>
        <v>-20.064516129032256</v>
      </c>
      <c r="CB122" s="4">
        <f t="shared" si="102"/>
        <v>-680.40075612511066</v>
      </c>
      <c r="CC122" s="2" t="b">
        <f>CB122&lt;=-$BZ$128</f>
        <v>1</v>
      </c>
    </row>
    <row r="123" spans="1:81" x14ac:dyDescent="0.2">
      <c r="A123" s="3">
        <v>45960</v>
      </c>
      <c r="B123" s="1">
        <v>82</v>
      </c>
      <c r="C123" s="2">
        <f t="shared" si="103"/>
        <v>-9.1935483870967687</v>
      </c>
      <c r="D123" s="4">
        <f t="shared" si="83"/>
        <v>-710.77797377042737</v>
      </c>
      <c r="E123" s="2" t="b">
        <f>D123&lt;=-$B$128</f>
        <v>1</v>
      </c>
      <c r="F123" s="1">
        <v>66</v>
      </c>
      <c r="G123" s="4">
        <f t="shared" si="104"/>
        <v>-21.258064516129039</v>
      </c>
      <c r="H123" s="4">
        <f t="shared" si="84"/>
        <v>-520.73907226649203</v>
      </c>
      <c r="I123" s="2" t="b">
        <f>H123&lt;=-$F$128</f>
        <v>1</v>
      </c>
      <c r="J123" s="1">
        <v>82</v>
      </c>
      <c r="K123" s="4">
        <f t="shared" si="105"/>
        <v>-7.7096774193548328</v>
      </c>
      <c r="L123" s="4">
        <f t="shared" si="85"/>
        <v>-531.28269340988481</v>
      </c>
      <c r="M123" s="2" t="b">
        <f>L123&lt;=-$J$128</f>
        <v>1</v>
      </c>
      <c r="N123" s="1">
        <v>75</v>
      </c>
      <c r="O123" s="4">
        <f t="shared" si="106"/>
        <v>-12.645161290322577</v>
      </c>
      <c r="P123" s="4">
        <f t="shared" si="86"/>
        <v>-522.92746159445471</v>
      </c>
      <c r="Q123" s="2" t="b">
        <f>P123&lt;=-$N$128</f>
        <v>1</v>
      </c>
      <c r="R123" s="1">
        <v>77</v>
      </c>
      <c r="S123" s="4">
        <f t="shared" si="107"/>
        <v>-14.741935483870961</v>
      </c>
      <c r="T123" s="4">
        <f t="shared" si="87"/>
        <v>-751.27136541673394</v>
      </c>
      <c r="U123" s="2" t="b">
        <f>T123&lt;=-$R$128</f>
        <v>1</v>
      </c>
      <c r="V123" s="1">
        <v>72</v>
      </c>
      <c r="W123" s="4">
        <f t="shared" si="108"/>
        <v>-14.741935483870961</v>
      </c>
      <c r="X123" s="4">
        <f t="shared" si="88"/>
        <v>-556.05127632115114</v>
      </c>
      <c r="Y123" s="2" t="b">
        <f>X123&lt;=-$V$128</f>
        <v>1</v>
      </c>
      <c r="Z123" s="1">
        <v>68</v>
      </c>
      <c r="AA123" s="4">
        <f t="shared" si="109"/>
        <v>-21.258064516129039</v>
      </c>
      <c r="AB123" s="4">
        <f t="shared" si="89"/>
        <v>-587.1796686115149</v>
      </c>
      <c r="AC123" s="2" t="b">
        <f>AB123&lt;=-$Z$128</f>
        <v>1</v>
      </c>
      <c r="AD123" s="1">
        <v>77</v>
      </c>
      <c r="AE123" s="4">
        <f t="shared" si="110"/>
        <v>-8.5806451612903203</v>
      </c>
      <c r="AF123" s="4">
        <f t="shared" si="90"/>
        <v>-441.94139243093213</v>
      </c>
      <c r="AG123" s="2" t="b">
        <f>AF123&lt;=-$AD$128</f>
        <v>1</v>
      </c>
      <c r="AH123" s="1">
        <v>78</v>
      </c>
      <c r="AI123" s="4">
        <f t="shared" si="111"/>
        <v>-9.8387096774193594</v>
      </c>
      <c r="AJ123" s="4">
        <f t="shared" si="91"/>
        <v>-621.853644311685</v>
      </c>
      <c r="AK123" s="2" t="b">
        <f>AJ123&lt;=-$AH$128</f>
        <v>1</v>
      </c>
      <c r="AL123" s="1">
        <v>69</v>
      </c>
      <c r="AM123" s="4">
        <f t="shared" si="112"/>
        <v>-17.935483870967744</v>
      </c>
      <c r="AN123" s="4">
        <f t="shared" si="92"/>
        <v>-335.67097600042524</v>
      </c>
      <c r="AO123" s="2" t="b">
        <f>AN123&lt;=-$AL$128</f>
        <v>1</v>
      </c>
      <c r="AP123" s="1">
        <v>73</v>
      </c>
      <c r="AQ123" s="4">
        <f t="shared" si="113"/>
        <v>-17.193548387096769</v>
      </c>
      <c r="AR123" s="4">
        <f t="shared" si="93"/>
        <v>-737.03533112583489</v>
      </c>
      <c r="AS123" s="2" t="b">
        <f>AR123&lt;=-$AP$128</f>
        <v>1</v>
      </c>
      <c r="AT123" s="1">
        <v>67</v>
      </c>
      <c r="AU123" s="4">
        <f t="shared" si="114"/>
        <v>-19.41935483870968</v>
      </c>
      <c r="AV123" s="4">
        <f t="shared" si="94"/>
        <v>-336.88263113569366</v>
      </c>
      <c r="AW123" s="2" t="b">
        <f>AV123&lt;=-$AT$128</f>
        <v>1</v>
      </c>
      <c r="AX123" s="1">
        <v>65</v>
      </c>
      <c r="AY123" s="4">
        <f t="shared" si="115"/>
        <v>-24.161290322580641</v>
      </c>
      <c r="AZ123" s="4">
        <f t="shared" si="95"/>
        <v>-695.22197795662385</v>
      </c>
      <c r="BA123" s="2" t="b">
        <f>AZ123&lt;=-$AX$128</f>
        <v>1</v>
      </c>
      <c r="BB123" s="1">
        <v>66</v>
      </c>
      <c r="BC123" s="4">
        <f t="shared" si="116"/>
        <v>-20.645161290322577</v>
      </c>
      <c r="BD123" s="4">
        <f t="shared" si="96"/>
        <v>-617.92041985232868</v>
      </c>
      <c r="BE123" s="2" t="b">
        <f>BD123&lt;=-$BB$128</f>
        <v>1</v>
      </c>
      <c r="BF123" s="1">
        <v>71</v>
      </c>
      <c r="BG123" s="4">
        <f t="shared" si="117"/>
        <v>-20.258064516129039</v>
      </c>
      <c r="BH123" s="4">
        <f t="shared" si="97"/>
        <v>-411.02339900794414</v>
      </c>
      <c r="BI123" s="2" t="b">
        <f>BH123&lt;=-$BF$128</f>
        <v>1</v>
      </c>
      <c r="BJ123" s="1">
        <v>61</v>
      </c>
      <c r="BK123" s="4">
        <f t="shared" si="118"/>
        <v>-30.935483870967744</v>
      </c>
      <c r="BL123" s="4">
        <f t="shared" si="98"/>
        <v>-751.3394686936133</v>
      </c>
      <c r="BM123" s="2" t="b">
        <f>BL123&lt;=-$BJ$128</f>
        <v>1</v>
      </c>
      <c r="BN123" s="1">
        <v>56</v>
      </c>
      <c r="BO123" s="4">
        <f t="shared" si="119"/>
        <v>-38.096774193548384</v>
      </c>
      <c r="BP123" s="4">
        <f t="shared" si="99"/>
        <v>-935.76926325867873</v>
      </c>
      <c r="BQ123" s="2" t="b">
        <f>BP123&lt;=-$BN$128</f>
        <v>1</v>
      </c>
      <c r="BR123" s="1">
        <v>78</v>
      </c>
      <c r="BS123" s="4">
        <f t="shared" si="120"/>
        <v>-6.7096774193548328</v>
      </c>
      <c r="BT123" s="4">
        <f t="shared" si="100"/>
        <v>-339.9835331285114</v>
      </c>
      <c r="BU123" s="2" t="b">
        <f>BT123&lt;=-$BR$128</f>
        <v>1</v>
      </c>
      <c r="BV123" s="1">
        <v>68</v>
      </c>
      <c r="BW123" s="2">
        <f t="shared" si="121"/>
        <v>-18.612903225806448</v>
      </c>
      <c r="BX123" s="4">
        <f t="shared" si="101"/>
        <v>-291.58210642351855</v>
      </c>
      <c r="BY123" s="2" t="b">
        <f>BX123&lt;=-$BV$128</f>
        <v>1</v>
      </c>
      <c r="BZ123" s="1">
        <v>70</v>
      </c>
      <c r="CA123" s="2">
        <f t="shared" si="122"/>
        <v>-20.064516129032256</v>
      </c>
      <c r="CB123" s="4">
        <f t="shared" si="102"/>
        <v>-698.68606136224469</v>
      </c>
      <c r="CC123" s="2" t="b">
        <f>CB123&lt;=-$BZ$128</f>
        <v>1</v>
      </c>
    </row>
    <row r="124" spans="1:81" x14ac:dyDescent="0.2">
      <c r="A124" s="3">
        <v>45961</v>
      </c>
      <c r="B124" s="1">
        <v>81</v>
      </c>
      <c r="C124" s="2">
        <f t="shared" si="103"/>
        <v>-10.193548387096769</v>
      </c>
      <c r="D124" s="4">
        <f t="shared" si="83"/>
        <v>-718.5206061558398</v>
      </c>
      <c r="E124" s="2" t="b">
        <f>D124&lt;=-$B$128</f>
        <v>1</v>
      </c>
      <c r="F124" s="1">
        <v>60</v>
      </c>
      <c r="G124" s="4">
        <f t="shared" si="104"/>
        <v>-27.258064516129039</v>
      </c>
      <c r="H124" s="4">
        <f t="shared" si="84"/>
        <v>-545.7836638630688</v>
      </c>
      <c r="I124" s="2" t="b">
        <f>H124&lt;=-$F$128</f>
        <v>1</v>
      </c>
      <c r="J124" s="1">
        <v>79</v>
      </c>
      <c r="K124" s="4">
        <f t="shared" si="105"/>
        <v>-10.709677419354833</v>
      </c>
      <c r="L124" s="4">
        <f t="shared" si="85"/>
        <v>-540.46925150590414</v>
      </c>
      <c r="M124" s="2" t="b">
        <f>L124&lt;=-$J$128</f>
        <v>1</v>
      </c>
      <c r="N124" s="1">
        <v>75</v>
      </c>
      <c r="O124" s="4">
        <f t="shared" si="106"/>
        <v>-12.645161290322577</v>
      </c>
      <c r="P124" s="4">
        <f t="shared" si="86"/>
        <v>-532.6814051854426</v>
      </c>
      <c r="Q124" s="2" t="b">
        <f>P124&lt;=-$N$128</f>
        <v>1</v>
      </c>
      <c r="R124" s="1">
        <v>78</v>
      </c>
      <c r="S124" s="4">
        <f t="shared" si="107"/>
        <v>-13.741935483870961</v>
      </c>
      <c r="T124" s="4">
        <f t="shared" si="87"/>
        <v>-762.25961324603611</v>
      </c>
      <c r="U124" s="2" t="b">
        <f>T124&lt;=-$R$128</f>
        <v>1</v>
      </c>
      <c r="V124" s="1">
        <v>71</v>
      </c>
      <c r="W124" s="4">
        <f t="shared" si="108"/>
        <v>-15.741935483870961</v>
      </c>
      <c r="X124" s="4">
        <f t="shared" si="88"/>
        <v>-570.48957751366913</v>
      </c>
      <c r="Y124" s="2" t="b">
        <f>X124&lt;=-$V$128</f>
        <v>1</v>
      </c>
      <c r="Z124" s="1">
        <v>60</v>
      </c>
      <c r="AA124" s="4">
        <f t="shared" si="109"/>
        <v>-29.258064516129039</v>
      </c>
      <c r="AB124" s="4">
        <f t="shared" si="89"/>
        <v>-614.56704812861517</v>
      </c>
      <c r="AC124" s="2" t="b">
        <f>AB124&lt;=-$Z$128</f>
        <v>1</v>
      </c>
      <c r="AD124" s="1">
        <v>75</v>
      </c>
      <c r="AE124" s="4">
        <f t="shared" si="110"/>
        <v>-10.58064516129032</v>
      </c>
      <c r="AF124" s="4">
        <f t="shared" si="90"/>
        <v>-450.77669047513086</v>
      </c>
      <c r="AG124" s="2" t="b">
        <f>AF124&lt;=-$AD$128</f>
        <v>1</v>
      </c>
      <c r="AH124" s="1">
        <v>82</v>
      </c>
      <c r="AI124" s="4">
        <f t="shared" si="111"/>
        <v>-5.8387096774193594</v>
      </c>
      <c r="AJ124" s="4">
        <f t="shared" si="91"/>
        <v>-626.14264017577443</v>
      </c>
      <c r="AK124" s="2" t="b">
        <f>AJ124&lt;=-$AH$128</f>
        <v>1</v>
      </c>
      <c r="AL124" s="1">
        <v>70</v>
      </c>
      <c r="AM124" s="4">
        <f t="shared" si="112"/>
        <v>-16.935483870967744</v>
      </c>
      <c r="AN124" s="4">
        <f t="shared" si="92"/>
        <v>-350.40443245758024</v>
      </c>
      <c r="AO124" s="2" t="b">
        <f>AN124&lt;=-$AL$128</f>
        <v>1</v>
      </c>
      <c r="AP124" s="1">
        <v>68</v>
      </c>
      <c r="AQ124" s="4">
        <f t="shared" si="113"/>
        <v>-22.193548387096769</v>
      </c>
      <c r="AR124" s="4">
        <f t="shared" si="93"/>
        <v>-757.10984138664764</v>
      </c>
      <c r="AS124" s="2" t="b">
        <f>AR124&lt;=-$AP$128</f>
        <v>1</v>
      </c>
      <c r="AT124" s="1">
        <v>71</v>
      </c>
      <c r="AU124" s="4">
        <f t="shared" si="114"/>
        <v>-15.41935483870968</v>
      </c>
      <c r="AV124" s="4">
        <f t="shared" si="94"/>
        <v>-350.62481477687862</v>
      </c>
      <c r="AW124" s="2" t="b">
        <f>AV124&lt;=-$AT$128</f>
        <v>1</v>
      </c>
      <c r="AX124" s="1">
        <v>67</v>
      </c>
      <c r="AY124" s="4">
        <f t="shared" si="115"/>
        <v>-22.161290322580641</v>
      </c>
      <c r="AZ124" s="4">
        <f t="shared" si="95"/>
        <v>-716.01033483705976</v>
      </c>
      <c r="BA124" s="2" t="b">
        <f>AZ124&lt;=-$AX$128</f>
        <v>1</v>
      </c>
      <c r="BB124" s="1">
        <v>69</v>
      </c>
      <c r="BC124" s="4">
        <f t="shared" si="116"/>
        <v>-17.645161290322577</v>
      </c>
      <c r="BD124" s="4">
        <f t="shared" si="96"/>
        <v>-633.71919554236445</v>
      </c>
      <c r="BE124" s="2" t="b">
        <f>BD124&lt;=-$BB$128</f>
        <v>1</v>
      </c>
      <c r="BF124" s="1">
        <v>75</v>
      </c>
      <c r="BG124" s="4">
        <f t="shared" si="117"/>
        <v>-16.258064516129039</v>
      </c>
      <c r="BH124" s="4">
        <f t="shared" si="97"/>
        <v>-425.25263897959968</v>
      </c>
      <c r="BI124" s="2" t="b">
        <f>BH124&lt;=-$BF$128</f>
        <v>1</v>
      </c>
      <c r="BJ124" s="1">
        <v>65</v>
      </c>
      <c r="BK124" s="4">
        <f t="shared" si="118"/>
        <v>-26.935483870967744</v>
      </c>
      <c r="BL124" s="4">
        <f t="shared" si="98"/>
        <v>-776.53840674086973</v>
      </c>
      <c r="BM124" s="2" t="b">
        <f>BL124&lt;=-$BJ$128</f>
        <v>1</v>
      </c>
      <c r="BN124" s="1">
        <v>65</v>
      </c>
      <c r="BO124" s="4">
        <f t="shared" si="119"/>
        <v>-29.096774193548384</v>
      </c>
      <c r="BP124" s="4">
        <f t="shared" si="99"/>
        <v>-962.57345943207281</v>
      </c>
      <c r="BQ124" s="2" t="b">
        <f>BP124&lt;=-$BN$128</f>
        <v>1</v>
      </c>
      <c r="BR124" s="1">
        <v>74</v>
      </c>
      <c r="BS124" s="4">
        <f t="shared" si="120"/>
        <v>-10.709677419354833</v>
      </c>
      <c r="BT124" s="4">
        <f t="shared" si="100"/>
        <v>-348.75588615415938</v>
      </c>
      <c r="BU124" s="2" t="b">
        <f>BT124&lt;=-$BR$128</f>
        <v>1</v>
      </c>
      <c r="BV124" s="1">
        <v>63</v>
      </c>
      <c r="BW124" s="2">
        <f t="shared" si="121"/>
        <v>-23.612903225806448</v>
      </c>
      <c r="BX124" s="4">
        <f t="shared" si="101"/>
        <v>-313.40300230487003</v>
      </c>
      <c r="BY124" s="2" t="b">
        <f>BX124&lt;=-$BV$128</f>
        <v>1</v>
      </c>
      <c r="BZ124" s="1">
        <v>62</v>
      </c>
      <c r="CA124" s="2">
        <f t="shared" si="122"/>
        <v>-28.064516129032256</v>
      </c>
      <c r="CB124" s="4">
        <f t="shared" si="102"/>
        <v>-724.97136659937871</v>
      </c>
      <c r="CC124" s="2" t="b">
        <f>CB124&lt;=-$BZ$128</f>
        <v>1</v>
      </c>
    </row>
    <row r="125" spans="1:81" x14ac:dyDescent="0.2">
      <c r="A125" s="3" t="s">
        <v>75</v>
      </c>
      <c r="B125" s="4">
        <f>AVERAGE(B2:B32)</f>
        <v>91.193548387096769</v>
      </c>
      <c r="C125" s="4"/>
      <c r="D125" s="4"/>
      <c r="E125" s="4"/>
      <c r="F125" s="4">
        <f>AVERAGE(F2:F32)</f>
        <v>87.258064516129039</v>
      </c>
      <c r="G125" s="4"/>
      <c r="H125" s="4"/>
      <c r="I125" s="4"/>
      <c r="J125" s="4">
        <f>AVERAGE(J2:J32)</f>
        <v>89.709677419354833</v>
      </c>
      <c r="K125" s="4"/>
      <c r="L125" s="4"/>
      <c r="M125" s="4"/>
      <c r="N125" s="4">
        <f>AVERAGE(N2:N32)</f>
        <v>87.645161290322577</v>
      </c>
      <c r="O125" s="4"/>
      <c r="P125" s="4"/>
      <c r="Q125" s="4"/>
      <c r="R125" s="4">
        <f>AVERAGE(R2:R32)</f>
        <v>91.741935483870961</v>
      </c>
      <c r="S125" s="4"/>
      <c r="T125" s="4"/>
      <c r="U125" s="4"/>
      <c r="V125" s="4">
        <f>AVERAGE(V2:V32)</f>
        <v>86.741935483870961</v>
      </c>
      <c r="W125" s="4"/>
      <c r="X125" s="4"/>
      <c r="Y125" s="4"/>
      <c r="Z125" s="4">
        <f>AVERAGE(Z2:Z32)</f>
        <v>89.258064516129039</v>
      </c>
      <c r="AA125" s="4"/>
      <c r="AB125" s="4"/>
      <c r="AC125" s="4"/>
      <c r="AD125" s="4">
        <f>AVERAGE(AD2:AD32)</f>
        <v>85.58064516129032</v>
      </c>
      <c r="AE125" s="4"/>
      <c r="AF125" s="4"/>
      <c r="AG125" s="4"/>
      <c r="AH125" s="4">
        <f>AVERAGE(AH2:AH32)</f>
        <v>87.838709677419359</v>
      </c>
      <c r="AI125" s="4"/>
      <c r="AJ125" s="4"/>
      <c r="AK125" s="4"/>
      <c r="AL125" s="4">
        <f>AVERAGE(AL2:AL32)</f>
        <v>86.935483870967744</v>
      </c>
      <c r="AM125" s="4"/>
      <c r="AN125" s="4"/>
      <c r="AO125" s="4"/>
      <c r="AP125" s="4">
        <f>AVERAGE(AP2:AP32)</f>
        <v>90.193548387096769</v>
      </c>
      <c r="AQ125" s="4"/>
      <c r="AR125" s="4"/>
      <c r="AS125" s="4"/>
      <c r="AT125" s="4">
        <f>AVERAGE(AT2:AT32)</f>
        <v>86.41935483870968</v>
      </c>
      <c r="AU125" s="4"/>
      <c r="AV125" s="4"/>
      <c r="AW125" s="4"/>
      <c r="AX125" s="4">
        <f>AVERAGE(AX2:AX32)</f>
        <v>89.161290322580641</v>
      </c>
      <c r="AY125" s="4"/>
      <c r="AZ125" s="4"/>
      <c r="BA125" s="4"/>
      <c r="BB125" s="4">
        <f>AVERAGE(BB2:BB32)</f>
        <v>86.645161290322577</v>
      </c>
      <c r="BC125" s="4"/>
      <c r="BD125" s="4"/>
      <c r="BE125" s="4"/>
      <c r="BF125" s="4">
        <f>AVERAGE(BF2:BF32)</f>
        <v>91.258064516129039</v>
      </c>
      <c r="BG125" s="4"/>
      <c r="BH125" s="4"/>
      <c r="BI125" s="4"/>
      <c r="BJ125" s="4">
        <f>AVERAGE(BJ2:BJ32)</f>
        <v>91.935483870967744</v>
      </c>
      <c r="BK125" s="4"/>
      <c r="BL125" s="4"/>
      <c r="BM125" s="4"/>
      <c r="BN125" s="4">
        <f>AVERAGE(BN2:BN32)</f>
        <v>94.096774193548384</v>
      </c>
      <c r="BO125" s="4"/>
      <c r="BP125" s="4"/>
      <c r="BQ125" s="4"/>
      <c r="BR125" s="4">
        <f>AVERAGE(BR2:BR32)</f>
        <v>84.709677419354833</v>
      </c>
      <c r="BS125" s="4"/>
      <c r="BT125" s="4"/>
      <c r="BU125" s="4"/>
      <c r="BV125" s="4">
        <f>AVERAGE(BV2:BV32)</f>
        <v>86.612903225806448</v>
      </c>
      <c r="BW125" s="4"/>
      <c r="BX125" s="4"/>
      <c r="BY125" s="4"/>
      <c r="BZ125" s="4">
        <f>AVERAGE(BZ2:BZ32)</f>
        <v>90.064516129032256</v>
      </c>
    </row>
    <row r="126" spans="1:81" ht="15" x14ac:dyDescent="0.25">
      <c r="A126" s="5" t="s">
        <v>76</v>
      </c>
      <c r="B126" s="2">
        <f>_xlfn.STDEV.S(B2:B32)</f>
        <v>4.9018320033684661</v>
      </c>
      <c r="C126" s="2"/>
      <c r="D126" s="2"/>
      <c r="E126" s="2"/>
      <c r="F126" s="2">
        <f>_xlfn.STDEV.S(F2:F32)</f>
        <v>4.4269458391046062</v>
      </c>
      <c r="G126" s="2"/>
      <c r="H126" s="2"/>
      <c r="I126" s="2"/>
      <c r="J126" s="2">
        <f>_xlfn.STDEV.S(J2:J32)</f>
        <v>3.0462386466711893</v>
      </c>
      <c r="K126" s="2"/>
      <c r="L126" s="2"/>
      <c r="M126" s="2"/>
      <c r="N126" s="2">
        <f>_xlfn.STDEV.S(N2:N32)</f>
        <v>5.782435398669401</v>
      </c>
      <c r="O126" s="2"/>
      <c r="P126" s="2"/>
      <c r="Q126" s="2"/>
      <c r="R126" s="2">
        <f>_xlfn.STDEV.S(R2:R32)</f>
        <v>5.5073753091376405</v>
      </c>
      <c r="S126" s="2"/>
      <c r="T126" s="2"/>
      <c r="U126" s="2"/>
      <c r="V126" s="2">
        <f>_xlfn.STDEV.S(V2:V32)</f>
        <v>2.6072685827059696</v>
      </c>
      <c r="W126" s="2"/>
      <c r="X126" s="2"/>
      <c r="Y126" s="2"/>
      <c r="Z126" s="2">
        <f>_xlfn.STDEV.S(Z2:Z32)</f>
        <v>3.7413699980576074</v>
      </c>
      <c r="AA126" s="2"/>
      <c r="AB126" s="2"/>
      <c r="AC126" s="2"/>
      <c r="AD126" s="2">
        <f>_xlfn.STDEV.S(AD2:AD32)</f>
        <v>3.4906942341831004</v>
      </c>
      <c r="AE126" s="2"/>
      <c r="AF126" s="2"/>
      <c r="AG126" s="2"/>
      <c r="AH126" s="2">
        <f>_xlfn.STDEV.S(AH2:AH32)</f>
        <v>3.0994276266599976</v>
      </c>
      <c r="AI126" s="2"/>
      <c r="AJ126" s="2"/>
      <c r="AK126" s="2"/>
      <c r="AL126" s="2">
        <f>_xlfn.STDEV.S(AL2:AL32)</f>
        <v>4.404054827625469</v>
      </c>
      <c r="AM126" s="2"/>
      <c r="AN126" s="2"/>
      <c r="AO126" s="2"/>
      <c r="AP126" s="2">
        <f>_xlfn.STDEV.S(AP2:AP32)</f>
        <v>4.2380762525679785</v>
      </c>
      <c r="AQ126" s="2"/>
      <c r="AR126" s="2"/>
      <c r="AS126" s="2"/>
      <c r="AT126" s="2">
        <f>_xlfn.STDEV.S(AT2:AT32)</f>
        <v>3.3543423950494087</v>
      </c>
      <c r="AU126" s="2"/>
      <c r="AV126" s="2"/>
      <c r="AW126" s="2"/>
      <c r="AX126" s="2">
        <f>_xlfn.STDEV.S(AX2:AX32)</f>
        <v>2.7458668842892866</v>
      </c>
      <c r="AY126" s="2"/>
      <c r="AZ126" s="2"/>
      <c r="BA126" s="2"/>
      <c r="BB126" s="2">
        <f>_xlfn.STDEV.S(BB2:BB32)</f>
        <v>3.6927712005734854</v>
      </c>
      <c r="BC126" s="2"/>
      <c r="BD126" s="2"/>
      <c r="BE126" s="2"/>
      <c r="BF126" s="2">
        <f>_xlfn.STDEV.S(BF2:BF32)</f>
        <v>4.0576490889469792</v>
      </c>
      <c r="BG126" s="2"/>
      <c r="BH126" s="2"/>
      <c r="BI126" s="2"/>
      <c r="BJ126" s="2">
        <f>_xlfn.STDEV.S(BJ2:BJ32)</f>
        <v>3.4730916474227773</v>
      </c>
      <c r="BK126" s="2"/>
      <c r="BL126" s="2"/>
      <c r="BM126" s="2"/>
      <c r="BN126" s="2">
        <f>_xlfn.STDEV.S(BN2:BN32)</f>
        <v>4.5851560403086058</v>
      </c>
      <c r="BO126" s="2"/>
      <c r="BP126" s="2"/>
      <c r="BQ126" s="2"/>
      <c r="BR126" s="2">
        <f>_xlfn.STDEV.S(BR2:BR32)</f>
        <v>3.8746487874136988</v>
      </c>
      <c r="BS126" s="2"/>
      <c r="BT126" s="2"/>
      <c r="BU126" s="2"/>
      <c r="BV126" s="2">
        <f>_xlfn.STDEV.S(BV2:BV32)</f>
        <v>3.5840146889099915</v>
      </c>
      <c r="BW126" s="2"/>
      <c r="BX126" s="2"/>
      <c r="BY126" s="2"/>
      <c r="BZ126" s="2">
        <f>_xlfn.STDEV.S(BZ2:BZ32)</f>
        <v>3.5584217837965566</v>
      </c>
      <c r="CA126" s="2"/>
    </row>
    <row r="127" spans="1:81" ht="30" x14ac:dyDescent="0.25">
      <c r="A127" s="6" t="s">
        <v>77</v>
      </c>
      <c r="B127" s="2">
        <f>B126/2</f>
        <v>2.4509160016842331</v>
      </c>
      <c r="C127" s="2"/>
      <c r="D127" s="2"/>
      <c r="E127" s="2"/>
      <c r="F127" s="2">
        <f>F126/2</f>
        <v>2.2134729195523031</v>
      </c>
      <c r="G127" s="2"/>
      <c r="H127" s="2"/>
      <c r="I127" s="2"/>
      <c r="J127" s="2">
        <f>J126/2</f>
        <v>1.5231193233355946</v>
      </c>
      <c r="K127" s="2"/>
      <c r="L127" s="2"/>
      <c r="M127" s="2"/>
      <c r="N127" s="2">
        <f>N126/2</f>
        <v>2.8912176993347005</v>
      </c>
      <c r="O127" s="2"/>
      <c r="P127" s="2"/>
      <c r="Q127" s="2"/>
      <c r="R127" s="2">
        <f>R126/2</f>
        <v>2.7536876545688203</v>
      </c>
      <c r="S127" s="2"/>
      <c r="T127" s="2"/>
      <c r="U127" s="2"/>
      <c r="V127" s="2">
        <f>V126/2</f>
        <v>1.3036342913529848</v>
      </c>
      <c r="W127" s="2"/>
      <c r="X127" s="2"/>
      <c r="Y127" s="2"/>
      <c r="Z127" s="2">
        <f>Z126/2</f>
        <v>1.8706849990288037</v>
      </c>
      <c r="AA127" s="2"/>
      <c r="AB127" s="2"/>
      <c r="AC127" s="2"/>
      <c r="AD127" s="2">
        <f>AD126/2</f>
        <v>1.7453471170915502</v>
      </c>
      <c r="AE127" s="2"/>
      <c r="AF127" s="2"/>
      <c r="AG127" s="2"/>
      <c r="AH127" s="2">
        <f>AH126/2</f>
        <v>1.5497138133299988</v>
      </c>
      <c r="AI127" s="2"/>
      <c r="AJ127" s="2"/>
      <c r="AK127" s="2"/>
      <c r="AL127" s="2">
        <f>AL126/2</f>
        <v>2.2020274138127345</v>
      </c>
      <c r="AM127" s="2"/>
      <c r="AN127" s="2"/>
      <c r="AO127" s="2"/>
      <c r="AP127" s="2">
        <f>AP126/2</f>
        <v>2.1190381262839892</v>
      </c>
      <c r="AQ127" s="2"/>
      <c r="AR127" s="2"/>
      <c r="AS127" s="2"/>
      <c r="AT127" s="2">
        <f>AT126/2</f>
        <v>1.6771711975247043</v>
      </c>
      <c r="AU127" s="2"/>
      <c r="AV127" s="2"/>
      <c r="AW127" s="2"/>
      <c r="AX127" s="2">
        <f>AX126/2</f>
        <v>1.3729334421446433</v>
      </c>
      <c r="AY127" s="2"/>
      <c r="AZ127" s="2"/>
      <c r="BA127" s="2"/>
      <c r="BB127" s="2">
        <f>BB126/2</f>
        <v>1.8463856002867427</v>
      </c>
      <c r="BC127" s="2"/>
      <c r="BD127" s="2"/>
      <c r="BE127" s="2"/>
      <c r="BF127" s="2">
        <f>BF126/2</f>
        <v>2.0288245444734896</v>
      </c>
      <c r="BG127" s="2"/>
      <c r="BH127" s="2"/>
      <c r="BI127" s="2"/>
      <c r="BJ127" s="2">
        <f>BJ126/2</f>
        <v>1.7365458237113887</v>
      </c>
      <c r="BK127" s="2"/>
      <c r="BL127" s="2"/>
      <c r="BM127" s="2"/>
      <c r="BN127" s="2">
        <f>BN126/2</f>
        <v>2.2925780201543029</v>
      </c>
      <c r="BO127" s="2"/>
      <c r="BP127" s="2"/>
      <c r="BQ127" s="2"/>
      <c r="BR127" s="2">
        <f>BR126/2</f>
        <v>1.9373243937068494</v>
      </c>
      <c r="BS127" s="2"/>
      <c r="BT127" s="2"/>
      <c r="BU127" s="2"/>
      <c r="BV127" s="2">
        <f>BV126/2</f>
        <v>1.7920073444549958</v>
      </c>
      <c r="BW127" s="2"/>
      <c r="BX127" s="2"/>
      <c r="BY127" s="2"/>
      <c r="BZ127" s="2">
        <f>BZ126/2</f>
        <v>1.7792108918982783</v>
      </c>
      <c r="CA127" s="2"/>
    </row>
    <row r="128" spans="1:81" ht="30" x14ac:dyDescent="0.25">
      <c r="A128" s="6" t="s">
        <v>92</v>
      </c>
      <c r="B128" s="2">
        <f>5*B126</f>
        <v>24.50916001684233</v>
      </c>
      <c r="C128" s="2"/>
      <c r="D128" s="2"/>
      <c r="E128" s="2"/>
      <c r="F128" s="2">
        <f>5*F126</f>
        <v>22.134729195523029</v>
      </c>
      <c r="G128" s="2"/>
      <c r="H128" s="2"/>
      <c r="I128" s="2"/>
      <c r="J128" s="2">
        <f>5*J126</f>
        <v>15.231193233355945</v>
      </c>
      <c r="K128" s="2"/>
      <c r="L128" s="2"/>
      <c r="M128" s="2"/>
      <c r="N128" s="2">
        <f>5*N126</f>
        <v>28.912176993347003</v>
      </c>
      <c r="O128" s="2"/>
      <c r="P128" s="2"/>
      <c r="Q128" s="2"/>
      <c r="R128" s="2">
        <f>5*R126</f>
        <v>27.536876545688202</v>
      </c>
      <c r="S128" s="2"/>
      <c r="T128" s="2"/>
      <c r="U128" s="2"/>
      <c r="V128" s="2">
        <f>5*V126</f>
        <v>13.036342913529849</v>
      </c>
      <c r="W128" s="2"/>
      <c r="X128" s="2"/>
      <c r="Y128" s="2"/>
      <c r="Z128" s="2">
        <f>5*Z126</f>
        <v>18.706849990288038</v>
      </c>
      <c r="AA128" s="2"/>
      <c r="AB128" s="2"/>
      <c r="AC128" s="2"/>
      <c r="AD128" s="2">
        <f>5*AD126</f>
        <v>17.453471170915503</v>
      </c>
      <c r="AE128" s="2"/>
      <c r="AF128" s="2"/>
      <c r="AG128" s="2"/>
      <c r="AH128" s="2">
        <f>5*AH126</f>
        <v>15.497138133299988</v>
      </c>
      <c r="AI128" s="2"/>
      <c r="AJ128" s="2"/>
      <c r="AK128" s="2"/>
      <c r="AL128" s="2">
        <f>5*AL126</f>
        <v>22.020274138127345</v>
      </c>
      <c r="AM128" s="2"/>
      <c r="AN128" s="2"/>
      <c r="AO128" s="2"/>
      <c r="AP128" s="2">
        <f>5*AP126</f>
        <v>21.190381262839892</v>
      </c>
      <c r="AQ128" s="2"/>
      <c r="AR128" s="2"/>
      <c r="AS128" s="2"/>
      <c r="AT128" s="2">
        <f>5*AT126</f>
        <v>16.771711975247044</v>
      </c>
      <c r="AU128" s="2"/>
      <c r="AV128" s="2"/>
      <c r="AW128" s="2"/>
      <c r="AX128" s="2">
        <f>5*AX126</f>
        <v>13.729334421446433</v>
      </c>
      <c r="AY128" s="2"/>
      <c r="AZ128" s="2"/>
      <c r="BA128" s="2"/>
      <c r="BB128" s="2">
        <f>5*BB126</f>
        <v>18.463856002867427</v>
      </c>
      <c r="BC128" s="2"/>
      <c r="BD128" s="2"/>
      <c r="BE128" s="2"/>
      <c r="BF128" s="2">
        <f>5*BF126</f>
        <v>20.288245444734898</v>
      </c>
      <c r="BG128" s="2"/>
      <c r="BH128" s="2"/>
      <c r="BI128" s="2"/>
      <c r="BJ128" s="2">
        <f>5*BJ126</f>
        <v>17.365458237113888</v>
      </c>
      <c r="BK128" s="2"/>
      <c r="BL128" s="2"/>
      <c r="BM128" s="2"/>
      <c r="BN128" s="2">
        <f>5*BN126</f>
        <v>22.925780201543027</v>
      </c>
      <c r="BO128" s="2"/>
      <c r="BP128" s="2"/>
      <c r="BQ128" s="2"/>
      <c r="BR128" s="2">
        <f>5*BR126</f>
        <v>19.373243937068494</v>
      </c>
      <c r="BS128" s="2"/>
      <c r="BT128" s="2"/>
      <c r="BU128" s="2"/>
      <c r="BV128" s="2">
        <f>5*BV126</f>
        <v>17.920073444549956</v>
      </c>
      <c r="BW128" s="2"/>
      <c r="BX128" s="2"/>
      <c r="BY128" s="2"/>
      <c r="BZ128" s="2">
        <f>5*BZ126</f>
        <v>17.792108918982784</v>
      </c>
      <c r="CA128" s="2"/>
    </row>
    <row r="129" spans="1:79" ht="15" x14ac:dyDescent="0.25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</row>
    <row r="131" spans="1:79" ht="57" x14ac:dyDescent="0.2">
      <c r="A131" s="7"/>
      <c r="B131" s="7" t="s">
        <v>78</v>
      </c>
      <c r="C131" s="10" t="s">
        <v>86</v>
      </c>
      <c r="D131" s="10" t="s">
        <v>79</v>
      </c>
      <c r="E131" s="7"/>
    </row>
    <row r="132" spans="1:79" x14ac:dyDescent="0.2">
      <c r="A132" s="7"/>
      <c r="B132" s="7">
        <v>1996</v>
      </c>
      <c r="C132" s="11">
        <v>35274</v>
      </c>
      <c r="D132" s="12">
        <v>79</v>
      </c>
      <c r="E132" s="7"/>
    </row>
    <row r="133" spans="1:79" x14ac:dyDescent="0.2">
      <c r="A133" s="7"/>
      <c r="B133" s="7">
        <v>1997</v>
      </c>
      <c r="C133" s="11">
        <v>35697</v>
      </c>
      <c r="D133" s="12">
        <v>82</v>
      </c>
      <c r="E133" s="2"/>
    </row>
    <row r="134" spans="1:79" x14ac:dyDescent="0.2">
      <c r="A134" s="7"/>
      <c r="B134" s="7">
        <v>1998</v>
      </c>
      <c r="C134" s="11">
        <v>36009</v>
      </c>
      <c r="D134" s="12">
        <v>82</v>
      </c>
      <c r="E134" s="2"/>
    </row>
    <row r="135" spans="1:79" x14ac:dyDescent="0.2">
      <c r="A135" s="7"/>
      <c r="B135" s="7">
        <v>1999</v>
      </c>
      <c r="C135" s="11">
        <v>36423</v>
      </c>
      <c r="D135" s="12">
        <v>68</v>
      </c>
      <c r="E135" s="2"/>
    </row>
    <row r="136" spans="1:79" x14ac:dyDescent="0.2">
      <c r="A136" s="7"/>
      <c r="B136" s="7">
        <v>2000</v>
      </c>
      <c r="C136" s="11">
        <v>36772</v>
      </c>
      <c r="D136" s="12">
        <v>82</v>
      </c>
      <c r="E136" s="2"/>
    </row>
    <row r="137" spans="1:79" x14ac:dyDescent="0.2">
      <c r="A137" s="7"/>
      <c r="B137" s="7">
        <v>2001</v>
      </c>
      <c r="C137" s="11">
        <v>37135</v>
      </c>
      <c r="D137" s="12">
        <v>80</v>
      </c>
      <c r="E137" s="2"/>
    </row>
    <row r="138" spans="1:79" x14ac:dyDescent="0.2">
      <c r="A138" s="7"/>
      <c r="B138" s="7">
        <v>2002</v>
      </c>
      <c r="C138" s="11" t="s">
        <v>97</v>
      </c>
      <c r="D138" s="12">
        <v>78</v>
      </c>
      <c r="E138" s="2"/>
    </row>
    <row r="139" spans="1:79" x14ac:dyDescent="0.2">
      <c r="A139" s="7"/>
      <c r="B139" s="7">
        <v>2003</v>
      </c>
      <c r="C139" s="11">
        <v>37843</v>
      </c>
      <c r="D139" s="12">
        <v>75</v>
      </c>
      <c r="E139" s="2"/>
    </row>
    <row r="140" spans="1:79" x14ac:dyDescent="0.2">
      <c r="A140" s="7"/>
      <c r="B140" s="7">
        <v>2004</v>
      </c>
      <c r="C140" s="11">
        <v>38207</v>
      </c>
      <c r="D140" s="12">
        <v>75</v>
      </c>
      <c r="E140" s="2"/>
    </row>
    <row r="141" spans="1:79" x14ac:dyDescent="0.2">
      <c r="A141" s="7"/>
      <c r="B141" s="7">
        <v>2005</v>
      </c>
      <c r="C141" s="11">
        <v>38631</v>
      </c>
      <c r="D141" s="12">
        <v>72</v>
      </c>
      <c r="E141" s="2"/>
    </row>
    <row r="142" spans="1:79" x14ac:dyDescent="0.2">
      <c r="A142" s="7"/>
      <c r="B142" s="7">
        <v>2006</v>
      </c>
      <c r="C142" s="11">
        <v>38960</v>
      </c>
      <c r="D142" s="12">
        <v>80</v>
      </c>
    </row>
    <row r="143" spans="1:79" x14ac:dyDescent="0.2">
      <c r="A143" s="7"/>
      <c r="B143" s="7">
        <v>2007</v>
      </c>
      <c r="C143" s="11">
        <v>39342</v>
      </c>
      <c r="D143" s="12">
        <v>78</v>
      </c>
    </row>
    <row r="144" spans="1:79" x14ac:dyDescent="0.2">
      <c r="A144" s="7"/>
      <c r="B144" s="7">
        <v>2008</v>
      </c>
      <c r="C144" s="11">
        <v>39672</v>
      </c>
      <c r="D144" s="12">
        <v>81</v>
      </c>
    </row>
    <row r="145" spans="1:4" x14ac:dyDescent="0.2">
      <c r="A145" s="7"/>
      <c r="B145" s="7">
        <v>2009</v>
      </c>
      <c r="C145" s="11">
        <v>40056</v>
      </c>
      <c r="D145" s="12">
        <v>79</v>
      </c>
    </row>
    <row r="146" spans="1:4" x14ac:dyDescent="0.2">
      <c r="A146" s="7"/>
      <c r="B146" s="7">
        <v>2010</v>
      </c>
      <c r="C146" s="11">
        <v>40448</v>
      </c>
      <c r="D146" s="12">
        <v>81</v>
      </c>
    </row>
    <row r="147" spans="1:4" x14ac:dyDescent="0.2">
      <c r="A147" s="7"/>
      <c r="B147" s="7">
        <v>2011</v>
      </c>
      <c r="C147" s="11">
        <v>40791</v>
      </c>
      <c r="D147" s="12">
        <v>78</v>
      </c>
    </row>
    <row r="148" spans="1:4" x14ac:dyDescent="0.2">
      <c r="A148" s="7"/>
      <c r="B148" s="7">
        <v>2012</v>
      </c>
      <c r="C148" s="11">
        <v>41130</v>
      </c>
      <c r="D148" s="12">
        <v>88</v>
      </c>
    </row>
    <row r="149" spans="1:4" x14ac:dyDescent="0.2">
      <c r="A149" s="7"/>
      <c r="B149" s="7">
        <v>2013</v>
      </c>
      <c r="C149" s="11">
        <v>41541</v>
      </c>
      <c r="D149" s="12">
        <v>71</v>
      </c>
    </row>
    <row r="150" spans="1:4" x14ac:dyDescent="0.2">
      <c r="A150" s="7"/>
      <c r="B150" s="7">
        <v>2014</v>
      </c>
      <c r="C150" s="11">
        <v>41905</v>
      </c>
      <c r="D150" s="12">
        <v>77</v>
      </c>
    </row>
    <row r="151" spans="1:4" x14ac:dyDescent="0.2">
      <c r="A151" s="7"/>
      <c r="B151" s="7">
        <v>2015</v>
      </c>
      <c r="C151" s="11">
        <v>42245</v>
      </c>
      <c r="D151" s="12">
        <v>81</v>
      </c>
    </row>
    <row r="152" spans="1:4" x14ac:dyDescent="0.2">
      <c r="B152" s="7"/>
      <c r="C152" s="13"/>
    </row>
    <row r="153" spans="1:4" x14ac:dyDescent="0.2">
      <c r="B153" s="7"/>
    </row>
    <row r="154" spans="1:4" x14ac:dyDescent="0.2">
      <c r="B154" s="7"/>
    </row>
    <row r="155" spans="1:4" x14ac:dyDescent="0.2">
      <c r="B155" s="7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0646-3647-43CC-8B6B-18798007C542}">
  <dimension ref="A1:U152"/>
  <sheetViews>
    <sheetView workbookViewId="0">
      <pane ySplit="1" topLeftCell="A126" activePane="bottomLeft" state="frozen"/>
      <selection pane="bottomLeft" activeCell="D134" sqref="D134"/>
    </sheetView>
  </sheetViews>
  <sheetFormatPr defaultRowHeight="13.5" x14ac:dyDescent="0.15"/>
  <cols>
    <col min="1" max="1" width="11" customWidth="1"/>
    <col min="3" max="3" width="11.625" customWidth="1"/>
  </cols>
  <sheetData>
    <row r="1" spans="1:21" ht="14.25" x14ac:dyDescent="0.2">
      <c r="A1" s="1" t="s">
        <v>0</v>
      </c>
      <c r="B1" s="1" t="s">
        <v>1</v>
      </c>
      <c r="C1" s="1" t="s">
        <v>5</v>
      </c>
      <c r="D1" s="1" t="s">
        <v>9</v>
      </c>
      <c r="E1" s="1" t="s">
        <v>13</v>
      </c>
      <c r="F1" s="1" t="s">
        <v>17</v>
      </c>
      <c r="G1" s="1" t="s">
        <v>21</v>
      </c>
      <c r="H1" s="1" t="s">
        <v>25</v>
      </c>
      <c r="I1" s="1" t="s">
        <v>29</v>
      </c>
      <c r="J1" s="1" t="s">
        <v>33</v>
      </c>
      <c r="K1" s="1" t="s">
        <v>37</v>
      </c>
      <c r="L1" s="1" t="s">
        <v>41</v>
      </c>
      <c r="M1" s="1" t="s">
        <v>45</v>
      </c>
      <c r="N1" s="1" t="s">
        <v>49</v>
      </c>
      <c r="O1" s="1" t="s">
        <v>53</v>
      </c>
      <c r="P1" s="1" t="s">
        <v>57</v>
      </c>
      <c r="Q1" s="1" t="s">
        <v>61</v>
      </c>
      <c r="R1" s="1" t="s">
        <v>65</v>
      </c>
      <c r="S1" s="1" t="s">
        <v>69</v>
      </c>
      <c r="T1" s="1" t="s">
        <v>73</v>
      </c>
      <c r="U1" s="1" t="s">
        <v>74</v>
      </c>
    </row>
    <row r="2" spans="1:21" ht="14.25" x14ac:dyDescent="0.2">
      <c r="A2" s="3">
        <v>45839</v>
      </c>
      <c r="B2" s="1">
        <v>98</v>
      </c>
      <c r="C2" s="1">
        <v>86</v>
      </c>
      <c r="D2" s="1">
        <v>91</v>
      </c>
      <c r="E2" s="1">
        <v>84</v>
      </c>
      <c r="F2" s="1">
        <v>89</v>
      </c>
      <c r="G2" s="1">
        <v>84</v>
      </c>
      <c r="H2" s="1">
        <v>90</v>
      </c>
      <c r="I2" s="1">
        <v>73</v>
      </c>
      <c r="J2" s="1">
        <v>82</v>
      </c>
      <c r="K2" s="1">
        <v>91</v>
      </c>
      <c r="L2" s="1">
        <v>93</v>
      </c>
      <c r="M2" s="1">
        <v>95</v>
      </c>
      <c r="N2" s="1">
        <v>85</v>
      </c>
      <c r="O2" s="1">
        <v>95</v>
      </c>
      <c r="P2" s="1">
        <v>87</v>
      </c>
      <c r="Q2" s="1">
        <v>92</v>
      </c>
      <c r="R2" s="1">
        <v>105</v>
      </c>
      <c r="S2" s="1">
        <v>82</v>
      </c>
      <c r="T2" s="1">
        <v>90</v>
      </c>
      <c r="U2" s="1">
        <v>85</v>
      </c>
    </row>
    <row r="3" spans="1:21" ht="14.25" x14ac:dyDescent="0.2">
      <c r="A3" s="3">
        <v>45840</v>
      </c>
      <c r="B3" s="1">
        <v>97</v>
      </c>
      <c r="C3" s="1">
        <v>90</v>
      </c>
      <c r="D3" s="1">
        <v>88</v>
      </c>
      <c r="E3" s="1">
        <v>82</v>
      </c>
      <c r="F3" s="1">
        <v>91</v>
      </c>
      <c r="G3" s="1">
        <v>87</v>
      </c>
      <c r="H3" s="1">
        <v>90</v>
      </c>
      <c r="I3" s="1">
        <v>81</v>
      </c>
      <c r="J3" s="1">
        <v>81</v>
      </c>
      <c r="K3" s="1">
        <v>89</v>
      </c>
      <c r="L3" s="1">
        <v>93</v>
      </c>
      <c r="M3" s="1">
        <v>85</v>
      </c>
      <c r="N3" s="1">
        <v>87</v>
      </c>
      <c r="O3" s="1">
        <v>90</v>
      </c>
      <c r="P3" s="1">
        <v>84</v>
      </c>
      <c r="Q3" s="1">
        <v>94</v>
      </c>
      <c r="R3" s="1">
        <v>93</v>
      </c>
      <c r="S3" s="1">
        <v>85</v>
      </c>
      <c r="T3" s="1">
        <v>93</v>
      </c>
      <c r="U3" s="1">
        <v>87</v>
      </c>
    </row>
    <row r="4" spans="1:21" ht="14.25" x14ac:dyDescent="0.2">
      <c r="A4" s="3">
        <v>45841</v>
      </c>
      <c r="B4" s="1">
        <v>97</v>
      </c>
      <c r="C4" s="1">
        <v>93</v>
      </c>
      <c r="D4" s="1">
        <v>91</v>
      </c>
      <c r="E4" s="1">
        <v>87</v>
      </c>
      <c r="F4" s="1">
        <v>93</v>
      </c>
      <c r="G4" s="1">
        <v>87</v>
      </c>
      <c r="H4" s="1">
        <v>87</v>
      </c>
      <c r="I4" s="1">
        <v>87</v>
      </c>
      <c r="J4" s="1">
        <v>86</v>
      </c>
      <c r="K4" s="1">
        <v>86</v>
      </c>
      <c r="L4" s="1">
        <v>93</v>
      </c>
      <c r="M4" s="1">
        <v>82</v>
      </c>
      <c r="N4" s="1">
        <v>91</v>
      </c>
      <c r="O4" s="1">
        <v>89</v>
      </c>
      <c r="P4" s="1">
        <v>83</v>
      </c>
      <c r="Q4" s="1">
        <v>95</v>
      </c>
      <c r="R4" s="1">
        <v>99</v>
      </c>
      <c r="S4" s="1">
        <v>76</v>
      </c>
      <c r="T4" s="1">
        <v>87</v>
      </c>
      <c r="U4" s="1">
        <v>79</v>
      </c>
    </row>
    <row r="5" spans="1:21" ht="14.25" x14ac:dyDescent="0.2">
      <c r="A5" s="3">
        <v>45842</v>
      </c>
      <c r="B5" s="1">
        <v>90</v>
      </c>
      <c r="C5" s="1">
        <v>91</v>
      </c>
      <c r="D5" s="1">
        <v>91</v>
      </c>
      <c r="E5" s="1">
        <v>88</v>
      </c>
      <c r="F5" s="1">
        <v>95</v>
      </c>
      <c r="G5" s="1">
        <v>84</v>
      </c>
      <c r="H5" s="1">
        <v>89</v>
      </c>
      <c r="I5" s="1">
        <v>86</v>
      </c>
      <c r="J5" s="1">
        <v>88</v>
      </c>
      <c r="K5" s="1">
        <v>86</v>
      </c>
      <c r="L5" s="1">
        <v>91</v>
      </c>
      <c r="M5" s="1">
        <v>86</v>
      </c>
      <c r="N5" s="1">
        <v>90</v>
      </c>
      <c r="O5" s="1">
        <v>91</v>
      </c>
      <c r="P5" s="1">
        <v>85</v>
      </c>
      <c r="Q5" s="1">
        <v>92</v>
      </c>
      <c r="R5" s="1">
        <v>98</v>
      </c>
      <c r="S5" s="1">
        <v>77</v>
      </c>
      <c r="T5" s="1">
        <v>84</v>
      </c>
      <c r="U5" s="1">
        <v>85</v>
      </c>
    </row>
    <row r="6" spans="1:21" ht="14.25" x14ac:dyDescent="0.2">
      <c r="A6" s="3">
        <v>45843</v>
      </c>
      <c r="B6" s="1">
        <v>89</v>
      </c>
      <c r="C6" s="1">
        <v>84</v>
      </c>
      <c r="D6" s="1">
        <v>91</v>
      </c>
      <c r="E6" s="1">
        <v>90</v>
      </c>
      <c r="F6" s="1">
        <v>96</v>
      </c>
      <c r="G6" s="1">
        <v>86</v>
      </c>
      <c r="H6" s="1">
        <v>93</v>
      </c>
      <c r="I6" s="1">
        <v>80</v>
      </c>
      <c r="J6" s="1">
        <v>90</v>
      </c>
      <c r="K6" s="1">
        <v>89</v>
      </c>
      <c r="L6" s="1">
        <v>90</v>
      </c>
      <c r="M6" s="1">
        <v>88</v>
      </c>
      <c r="N6" s="1">
        <v>88</v>
      </c>
      <c r="O6" s="1">
        <v>80</v>
      </c>
      <c r="P6" s="1">
        <v>88</v>
      </c>
      <c r="Q6" s="1">
        <v>90</v>
      </c>
      <c r="R6" s="1">
        <v>100</v>
      </c>
      <c r="S6" s="1">
        <v>83</v>
      </c>
      <c r="T6" s="1">
        <v>86</v>
      </c>
      <c r="U6" s="1">
        <v>84</v>
      </c>
    </row>
    <row r="7" spans="1:21" ht="14.25" x14ac:dyDescent="0.2">
      <c r="A7" s="3">
        <v>45844</v>
      </c>
      <c r="B7" s="1">
        <v>93</v>
      </c>
      <c r="C7" s="1">
        <v>84</v>
      </c>
      <c r="D7" s="1">
        <v>89</v>
      </c>
      <c r="E7" s="1">
        <v>91</v>
      </c>
      <c r="F7" s="1">
        <v>96</v>
      </c>
      <c r="G7" s="1">
        <v>87</v>
      </c>
      <c r="H7" s="1">
        <v>93</v>
      </c>
      <c r="I7" s="1">
        <v>84</v>
      </c>
      <c r="J7" s="1">
        <v>90</v>
      </c>
      <c r="K7" s="1">
        <v>82</v>
      </c>
      <c r="L7" s="1">
        <v>81</v>
      </c>
      <c r="M7" s="1">
        <v>87</v>
      </c>
      <c r="N7" s="1">
        <v>82</v>
      </c>
      <c r="O7" s="1">
        <v>87</v>
      </c>
      <c r="P7" s="1">
        <v>89</v>
      </c>
      <c r="Q7" s="1">
        <v>90</v>
      </c>
      <c r="R7" s="1">
        <v>98</v>
      </c>
      <c r="S7" s="1">
        <v>83</v>
      </c>
      <c r="T7" s="1">
        <v>87</v>
      </c>
      <c r="U7" s="1">
        <v>84</v>
      </c>
    </row>
    <row r="8" spans="1:21" ht="14.25" x14ac:dyDescent="0.2">
      <c r="A8" s="3">
        <v>45845</v>
      </c>
      <c r="B8" s="1">
        <v>93</v>
      </c>
      <c r="C8" s="1">
        <v>75</v>
      </c>
      <c r="D8" s="1">
        <v>93</v>
      </c>
      <c r="E8" s="1">
        <v>82</v>
      </c>
      <c r="F8" s="1">
        <v>96</v>
      </c>
      <c r="G8" s="1">
        <v>87</v>
      </c>
      <c r="H8" s="1">
        <v>89</v>
      </c>
      <c r="I8" s="1">
        <v>87</v>
      </c>
      <c r="J8" s="1">
        <v>89</v>
      </c>
      <c r="K8" s="1">
        <v>76</v>
      </c>
      <c r="L8" s="1">
        <v>80</v>
      </c>
      <c r="M8" s="1">
        <v>82</v>
      </c>
      <c r="N8" s="1">
        <v>88</v>
      </c>
      <c r="O8" s="1">
        <v>86</v>
      </c>
      <c r="P8" s="1">
        <v>94</v>
      </c>
      <c r="Q8" s="1">
        <v>94</v>
      </c>
      <c r="R8" s="1">
        <v>93</v>
      </c>
      <c r="S8" s="1">
        <v>79</v>
      </c>
      <c r="T8" s="1">
        <v>89</v>
      </c>
      <c r="U8" s="1">
        <v>90</v>
      </c>
    </row>
    <row r="9" spans="1:21" ht="14.25" x14ac:dyDescent="0.2">
      <c r="A9" s="3">
        <v>45846</v>
      </c>
      <c r="B9" s="1">
        <v>91</v>
      </c>
      <c r="C9" s="1">
        <v>87</v>
      </c>
      <c r="D9" s="1">
        <v>95</v>
      </c>
      <c r="E9" s="1">
        <v>86</v>
      </c>
      <c r="F9" s="1">
        <v>91</v>
      </c>
      <c r="G9" s="1">
        <v>89</v>
      </c>
      <c r="H9" s="1">
        <v>89</v>
      </c>
      <c r="I9" s="1">
        <v>90</v>
      </c>
      <c r="J9" s="1">
        <v>87</v>
      </c>
      <c r="K9" s="1">
        <v>88</v>
      </c>
      <c r="L9" s="1">
        <v>82</v>
      </c>
      <c r="M9" s="1">
        <v>82</v>
      </c>
      <c r="N9" s="1">
        <v>90</v>
      </c>
      <c r="O9" s="1">
        <v>82</v>
      </c>
      <c r="P9" s="1">
        <v>97</v>
      </c>
      <c r="Q9" s="1">
        <v>94</v>
      </c>
      <c r="R9" s="1">
        <v>95</v>
      </c>
      <c r="S9" s="1">
        <v>88</v>
      </c>
      <c r="T9" s="1">
        <v>90</v>
      </c>
      <c r="U9" s="1">
        <v>90</v>
      </c>
    </row>
    <row r="10" spans="1:21" ht="14.25" x14ac:dyDescent="0.2">
      <c r="A10" s="3">
        <v>45847</v>
      </c>
      <c r="B10" s="1">
        <v>93</v>
      </c>
      <c r="C10" s="1">
        <v>84</v>
      </c>
      <c r="D10" s="1">
        <v>95</v>
      </c>
      <c r="E10" s="1">
        <v>87</v>
      </c>
      <c r="F10" s="1">
        <v>96</v>
      </c>
      <c r="G10" s="1">
        <v>91</v>
      </c>
      <c r="H10" s="1">
        <v>90</v>
      </c>
      <c r="I10" s="1">
        <v>89</v>
      </c>
      <c r="J10" s="1">
        <v>88</v>
      </c>
      <c r="K10" s="1">
        <v>89</v>
      </c>
      <c r="L10" s="1">
        <v>84</v>
      </c>
      <c r="M10" s="1">
        <v>89</v>
      </c>
      <c r="N10" s="1">
        <v>89</v>
      </c>
      <c r="O10" s="1">
        <v>84</v>
      </c>
      <c r="P10" s="1">
        <v>96</v>
      </c>
      <c r="Q10" s="1">
        <v>91</v>
      </c>
      <c r="R10" s="1">
        <v>97</v>
      </c>
      <c r="S10" s="1">
        <v>88</v>
      </c>
      <c r="T10" s="1">
        <v>90</v>
      </c>
      <c r="U10" s="1">
        <v>91</v>
      </c>
    </row>
    <row r="11" spans="1:21" ht="14.25" x14ac:dyDescent="0.2">
      <c r="A11" s="3">
        <v>45848</v>
      </c>
      <c r="B11" s="1">
        <v>93</v>
      </c>
      <c r="C11" s="1">
        <v>87</v>
      </c>
      <c r="D11" s="1">
        <v>91</v>
      </c>
      <c r="E11" s="1">
        <v>87</v>
      </c>
      <c r="F11" s="1">
        <v>99</v>
      </c>
      <c r="G11" s="1">
        <v>87</v>
      </c>
      <c r="H11" s="1">
        <v>91</v>
      </c>
      <c r="I11" s="1">
        <v>84</v>
      </c>
      <c r="J11" s="1">
        <v>89</v>
      </c>
      <c r="K11" s="1">
        <v>78</v>
      </c>
      <c r="L11" s="1">
        <v>84</v>
      </c>
      <c r="M11" s="1">
        <v>86</v>
      </c>
      <c r="N11" s="1">
        <v>87</v>
      </c>
      <c r="O11" s="1">
        <v>84</v>
      </c>
      <c r="P11" s="1">
        <v>90</v>
      </c>
      <c r="Q11" s="1">
        <v>92</v>
      </c>
      <c r="R11" s="1">
        <v>95</v>
      </c>
      <c r="S11" s="1">
        <v>87</v>
      </c>
      <c r="T11" s="1">
        <v>87</v>
      </c>
      <c r="U11" s="1">
        <v>93</v>
      </c>
    </row>
    <row r="12" spans="1:21" ht="14.25" x14ac:dyDescent="0.2">
      <c r="A12" s="3">
        <v>45849</v>
      </c>
      <c r="B12" s="1">
        <v>90</v>
      </c>
      <c r="C12" s="1">
        <v>84</v>
      </c>
      <c r="D12" s="1">
        <v>91</v>
      </c>
      <c r="E12" s="1">
        <v>82</v>
      </c>
      <c r="F12" s="1">
        <v>96</v>
      </c>
      <c r="G12" s="1">
        <v>90</v>
      </c>
      <c r="H12" s="1">
        <v>84</v>
      </c>
      <c r="I12" s="1">
        <v>84</v>
      </c>
      <c r="J12" s="1">
        <v>90</v>
      </c>
      <c r="K12" s="1">
        <v>83</v>
      </c>
      <c r="L12" s="1">
        <v>90</v>
      </c>
      <c r="M12" s="1">
        <v>85</v>
      </c>
      <c r="N12" s="1">
        <v>89</v>
      </c>
      <c r="O12" s="1">
        <v>86</v>
      </c>
      <c r="P12" s="1">
        <v>93</v>
      </c>
      <c r="Q12" s="1">
        <v>95</v>
      </c>
      <c r="R12" s="1">
        <v>90</v>
      </c>
      <c r="S12" s="1">
        <v>80</v>
      </c>
      <c r="T12" s="1">
        <v>85</v>
      </c>
      <c r="U12" s="1">
        <v>92</v>
      </c>
    </row>
    <row r="13" spans="1:21" ht="14.25" x14ac:dyDescent="0.2">
      <c r="A13" s="3">
        <v>45850</v>
      </c>
      <c r="B13" s="1">
        <v>91</v>
      </c>
      <c r="C13" s="1">
        <v>88</v>
      </c>
      <c r="D13" s="1">
        <v>86</v>
      </c>
      <c r="E13" s="1">
        <v>77</v>
      </c>
      <c r="F13" s="1">
        <v>93</v>
      </c>
      <c r="G13" s="1">
        <v>90</v>
      </c>
      <c r="H13" s="1">
        <v>77</v>
      </c>
      <c r="I13" s="1">
        <v>86</v>
      </c>
      <c r="J13" s="1">
        <v>89</v>
      </c>
      <c r="K13" s="1">
        <v>86</v>
      </c>
      <c r="L13" s="1">
        <v>91</v>
      </c>
      <c r="M13" s="1">
        <v>87</v>
      </c>
      <c r="N13" s="1">
        <v>93</v>
      </c>
      <c r="O13" s="1">
        <v>90</v>
      </c>
      <c r="P13" s="1">
        <v>90</v>
      </c>
      <c r="Q13" s="1">
        <v>95</v>
      </c>
      <c r="R13" s="1">
        <v>84</v>
      </c>
      <c r="S13" s="1">
        <v>87</v>
      </c>
      <c r="T13" s="1">
        <v>90</v>
      </c>
      <c r="U13" s="1">
        <v>93</v>
      </c>
    </row>
    <row r="14" spans="1:21" ht="14.25" x14ac:dyDescent="0.2">
      <c r="A14" s="3">
        <v>45851</v>
      </c>
      <c r="B14" s="1">
        <v>93</v>
      </c>
      <c r="C14" s="1">
        <v>86</v>
      </c>
      <c r="D14" s="1">
        <v>88</v>
      </c>
      <c r="E14" s="1">
        <v>73</v>
      </c>
      <c r="F14" s="1">
        <v>91</v>
      </c>
      <c r="G14" s="1">
        <v>86</v>
      </c>
      <c r="H14" s="1">
        <v>82</v>
      </c>
      <c r="I14" s="1">
        <v>87</v>
      </c>
      <c r="J14" s="1">
        <v>91</v>
      </c>
      <c r="K14" s="1">
        <v>84</v>
      </c>
      <c r="L14" s="1">
        <v>91</v>
      </c>
      <c r="M14" s="1">
        <v>86</v>
      </c>
      <c r="N14" s="1">
        <v>85</v>
      </c>
      <c r="O14" s="1">
        <v>84</v>
      </c>
      <c r="P14" s="1">
        <v>91</v>
      </c>
      <c r="Q14" s="1">
        <v>97</v>
      </c>
      <c r="R14" s="1">
        <v>90</v>
      </c>
      <c r="S14" s="1">
        <v>78</v>
      </c>
      <c r="T14" s="1">
        <v>89</v>
      </c>
      <c r="U14" s="1">
        <v>92</v>
      </c>
    </row>
    <row r="15" spans="1:21" ht="14.25" x14ac:dyDescent="0.2">
      <c r="A15" s="3">
        <v>45852</v>
      </c>
      <c r="B15" s="1">
        <v>93</v>
      </c>
      <c r="C15" s="1">
        <v>90</v>
      </c>
      <c r="D15" s="1">
        <v>87</v>
      </c>
      <c r="E15" s="1">
        <v>81</v>
      </c>
      <c r="F15" s="1">
        <v>93</v>
      </c>
      <c r="G15" s="1">
        <v>82</v>
      </c>
      <c r="H15" s="1">
        <v>88</v>
      </c>
      <c r="I15" s="1">
        <v>84</v>
      </c>
      <c r="J15" s="1">
        <v>91</v>
      </c>
      <c r="K15" s="1">
        <v>87</v>
      </c>
      <c r="L15" s="1">
        <v>91</v>
      </c>
      <c r="M15" s="1">
        <v>84</v>
      </c>
      <c r="N15" s="1">
        <v>88</v>
      </c>
      <c r="O15" s="1">
        <v>89</v>
      </c>
      <c r="P15" s="1">
        <v>91</v>
      </c>
      <c r="Q15" s="1">
        <v>90</v>
      </c>
      <c r="R15" s="1">
        <v>90</v>
      </c>
      <c r="S15" s="1">
        <v>85</v>
      </c>
      <c r="T15" s="1">
        <v>90</v>
      </c>
      <c r="U15" s="1">
        <v>90</v>
      </c>
    </row>
    <row r="16" spans="1:21" ht="14.25" x14ac:dyDescent="0.2">
      <c r="A16" s="3">
        <v>45853</v>
      </c>
      <c r="B16" s="1">
        <v>82</v>
      </c>
      <c r="C16" s="1">
        <v>91</v>
      </c>
      <c r="D16" s="1">
        <v>91</v>
      </c>
      <c r="E16" s="1">
        <v>81</v>
      </c>
      <c r="F16" s="1">
        <v>93</v>
      </c>
      <c r="G16" s="1">
        <v>82</v>
      </c>
      <c r="H16" s="1">
        <v>91</v>
      </c>
      <c r="I16" s="1">
        <v>86</v>
      </c>
      <c r="J16" s="1">
        <v>84</v>
      </c>
      <c r="K16" s="1">
        <v>84</v>
      </c>
      <c r="L16" s="1">
        <v>91</v>
      </c>
      <c r="M16" s="1">
        <v>81</v>
      </c>
      <c r="N16" s="1">
        <v>89</v>
      </c>
      <c r="O16" s="1">
        <v>89</v>
      </c>
      <c r="P16" s="1">
        <v>94</v>
      </c>
      <c r="Q16" s="1">
        <v>80</v>
      </c>
      <c r="R16" s="1">
        <v>90</v>
      </c>
      <c r="S16" s="1">
        <v>86</v>
      </c>
      <c r="T16" s="1">
        <v>86</v>
      </c>
      <c r="U16" s="1">
        <v>89</v>
      </c>
    </row>
    <row r="17" spans="1:21" ht="14.25" x14ac:dyDescent="0.2">
      <c r="A17" s="3">
        <v>45854</v>
      </c>
      <c r="B17" s="1">
        <v>91</v>
      </c>
      <c r="C17" s="1">
        <v>91</v>
      </c>
      <c r="D17" s="1">
        <v>87</v>
      </c>
      <c r="E17" s="1">
        <v>86</v>
      </c>
      <c r="F17" s="1">
        <v>93</v>
      </c>
      <c r="G17" s="1">
        <v>84</v>
      </c>
      <c r="H17" s="1">
        <v>93</v>
      </c>
      <c r="I17" s="1">
        <v>88</v>
      </c>
      <c r="J17" s="1">
        <v>84</v>
      </c>
      <c r="K17" s="1">
        <v>85</v>
      </c>
      <c r="L17" s="1">
        <v>91</v>
      </c>
      <c r="M17" s="1">
        <v>86</v>
      </c>
      <c r="N17" s="1">
        <v>89</v>
      </c>
      <c r="O17" s="1">
        <v>90</v>
      </c>
      <c r="P17" s="1">
        <v>89</v>
      </c>
      <c r="Q17" s="1">
        <v>85</v>
      </c>
      <c r="R17" s="1">
        <v>92</v>
      </c>
      <c r="S17" s="1">
        <v>87</v>
      </c>
      <c r="T17" s="1">
        <v>83</v>
      </c>
      <c r="U17" s="1">
        <v>88</v>
      </c>
    </row>
    <row r="18" spans="1:21" ht="14.25" x14ac:dyDescent="0.2">
      <c r="A18" s="3">
        <v>45855</v>
      </c>
      <c r="B18" s="1">
        <v>96</v>
      </c>
      <c r="C18" s="1">
        <v>89</v>
      </c>
      <c r="D18" s="1">
        <v>90</v>
      </c>
      <c r="E18" s="1">
        <v>82</v>
      </c>
      <c r="F18" s="1">
        <v>91</v>
      </c>
      <c r="G18" s="1">
        <v>87</v>
      </c>
      <c r="H18" s="1">
        <v>93</v>
      </c>
      <c r="I18" s="1">
        <v>88</v>
      </c>
      <c r="J18" s="1">
        <v>84</v>
      </c>
      <c r="K18" s="1">
        <v>89</v>
      </c>
      <c r="L18" s="1">
        <v>93</v>
      </c>
      <c r="M18" s="1">
        <v>89</v>
      </c>
      <c r="N18" s="1">
        <v>88</v>
      </c>
      <c r="O18" s="1">
        <v>88</v>
      </c>
      <c r="P18" s="1">
        <v>87</v>
      </c>
      <c r="Q18" s="1">
        <v>87</v>
      </c>
      <c r="R18" s="1">
        <v>93</v>
      </c>
      <c r="S18" s="1">
        <v>91</v>
      </c>
      <c r="T18" s="1">
        <v>86</v>
      </c>
      <c r="U18" s="1">
        <v>93</v>
      </c>
    </row>
    <row r="19" spans="1:21" ht="14.25" x14ac:dyDescent="0.2">
      <c r="A19" s="3">
        <v>45856</v>
      </c>
      <c r="B19" s="1">
        <v>95</v>
      </c>
      <c r="C19" s="1">
        <v>89</v>
      </c>
      <c r="D19" s="1">
        <v>91</v>
      </c>
      <c r="E19" s="1">
        <v>87</v>
      </c>
      <c r="F19" s="1">
        <v>97</v>
      </c>
      <c r="G19" s="1">
        <v>88</v>
      </c>
      <c r="H19" s="1">
        <v>93</v>
      </c>
      <c r="I19" s="1">
        <v>88</v>
      </c>
      <c r="J19" s="1">
        <v>87</v>
      </c>
      <c r="K19" s="1">
        <v>90</v>
      </c>
      <c r="L19" s="1">
        <v>93</v>
      </c>
      <c r="M19" s="1">
        <v>89</v>
      </c>
      <c r="N19" s="1">
        <v>90</v>
      </c>
      <c r="O19" s="1">
        <v>82</v>
      </c>
      <c r="P19" s="1">
        <v>83</v>
      </c>
      <c r="Q19" s="1">
        <v>89</v>
      </c>
      <c r="R19" s="1">
        <v>93</v>
      </c>
      <c r="S19" s="1">
        <v>87</v>
      </c>
      <c r="T19" s="1">
        <v>82</v>
      </c>
      <c r="U19" s="1">
        <v>92</v>
      </c>
    </row>
    <row r="20" spans="1:21" ht="14.25" x14ac:dyDescent="0.2">
      <c r="A20" s="3">
        <v>45857</v>
      </c>
      <c r="B20" s="1">
        <v>96</v>
      </c>
      <c r="C20" s="1">
        <v>89</v>
      </c>
      <c r="D20" s="1">
        <v>95</v>
      </c>
      <c r="E20" s="1">
        <v>88</v>
      </c>
      <c r="F20" s="1">
        <v>100</v>
      </c>
      <c r="G20" s="1">
        <v>90</v>
      </c>
      <c r="H20" s="1">
        <v>93</v>
      </c>
      <c r="I20" s="1">
        <v>88</v>
      </c>
      <c r="J20" s="1">
        <v>84</v>
      </c>
      <c r="K20" s="1">
        <v>89</v>
      </c>
      <c r="L20" s="1">
        <v>96</v>
      </c>
      <c r="M20" s="1">
        <v>88</v>
      </c>
      <c r="N20" s="1">
        <v>91</v>
      </c>
      <c r="O20" s="1">
        <v>80</v>
      </c>
      <c r="P20" s="1">
        <v>90</v>
      </c>
      <c r="Q20" s="1">
        <v>94</v>
      </c>
      <c r="R20" s="1">
        <v>91</v>
      </c>
      <c r="S20" s="1">
        <v>90</v>
      </c>
      <c r="T20" s="1">
        <v>85</v>
      </c>
      <c r="U20" s="1">
        <v>91</v>
      </c>
    </row>
    <row r="21" spans="1:21" ht="14.25" x14ac:dyDescent="0.2">
      <c r="A21" s="3">
        <v>45858</v>
      </c>
      <c r="B21" s="1">
        <v>99</v>
      </c>
      <c r="C21" s="1">
        <v>90</v>
      </c>
      <c r="D21" s="1">
        <v>91</v>
      </c>
      <c r="E21" s="1">
        <v>90</v>
      </c>
      <c r="F21" s="1">
        <v>99</v>
      </c>
      <c r="G21" s="1">
        <v>87</v>
      </c>
      <c r="H21" s="1">
        <v>91</v>
      </c>
      <c r="I21" s="1">
        <v>88</v>
      </c>
      <c r="J21" s="1">
        <v>88</v>
      </c>
      <c r="K21" s="1">
        <v>89</v>
      </c>
      <c r="L21" s="1">
        <v>93</v>
      </c>
      <c r="M21" s="1">
        <v>86</v>
      </c>
      <c r="N21" s="1">
        <v>94</v>
      </c>
      <c r="O21" s="1">
        <v>82</v>
      </c>
      <c r="P21" s="1">
        <v>91</v>
      </c>
      <c r="Q21" s="1">
        <v>91</v>
      </c>
      <c r="R21" s="1">
        <v>84</v>
      </c>
      <c r="S21" s="1">
        <v>86</v>
      </c>
      <c r="T21" s="1">
        <v>76</v>
      </c>
      <c r="U21" s="1">
        <v>93</v>
      </c>
    </row>
    <row r="22" spans="1:21" ht="14.25" x14ac:dyDescent="0.2">
      <c r="A22" s="3">
        <v>45859</v>
      </c>
      <c r="B22" s="1">
        <v>91</v>
      </c>
      <c r="C22" s="1">
        <v>89</v>
      </c>
      <c r="D22" s="1">
        <v>91</v>
      </c>
      <c r="E22" s="1">
        <v>90</v>
      </c>
      <c r="F22" s="1">
        <v>93</v>
      </c>
      <c r="G22" s="1">
        <v>84</v>
      </c>
      <c r="H22" s="1">
        <v>95</v>
      </c>
      <c r="I22" s="1">
        <v>89</v>
      </c>
      <c r="J22" s="1">
        <v>89</v>
      </c>
      <c r="K22" s="1">
        <v>90</v>
      </c>
      <c r="L22" s="1">
        <v>93</v>
      </c>
      <c r="M22" s="1">
        <v>86</v>
      </c>
      <c r="N22" s="1">
        <v>95</v>
      </c>
      <c r="O22" s="1">
        <v>86</v>
      </c>
      <c r="P22" s="1">
        <v>94</v>
      </c>
      <c r="Q22" s="1">
        <v>92</v>
      </c>
      <c r="R22" s="1">
        <v>90</v>
      </c>
      <c r="S22" s="1">
        <v>87</v>
      </c>
      <c r="T22" s="1">
        <v>82</v>
      </c>
      <c r="U22" s="1">
        <v>93</v>
      </c>
    </row>
    <row r="23" spans="1:21" ht="14.25" x14ac:dyDescent="0.2">
      <c r="A23" s="3">
        <v>45860</v>
      </c>
      <c r="B23" s="1">
        <v>95</v>
      </c>
      <c r="C23" s="1">
        <v>84</v>
      </c>
      <c r="D23" s="1">
        <v>89</v>
      </c>
      <c r="E23" s="1">
        <v>91</v>
      </c>
      <c r="F23" s="1">
        <v>96</v>
      </c>
      <c r="G23" s="1">
        <v>87</v>
      </c>
      <c r="H23" s="1">
        <v>91</v>
      </c>
      <c r="I23" s="1">
        <v>86</v>
      </c>
      <c r="J23" s="1">
        <v>89</v>
      </c>
      <c r="K23" s="1">
        <v>91</v>
      </c>
      <c r="L23" s="1">
        <v>91</v>
      </c>
      <c r="M23" s="1">
        <v>79</v>
      </c>
      <c r="N23" s="1">
        <v>92</v>
      </c>
      <c r="O23" s="1">
        <v>84</v>
      </c>
      <c r="P23" s="1">
        <v>95</v>
      </c>
      <c r="Q23" s="1">
        <v>94</v>
      </c>
      <c r="R23" s="1">
        <v>95</v>
      </c>
      <c r="S23" s="1">
        <v>85</v>
      </c>
      <c r="T23" s="1">
        <v>83</v>
      </c>
      <c r="U23" s="1">
        <v>92</v>
      </c>
    </row>
    <row r="24" spans="1:21" ht="14.25" x14ac:dyDescent="0.2">
      <c r="A24" s="3">
        <v>45861</v>
      </c>
      <c r="B24" s="1">
        <v>91</v>
      </c>
      <c r="C24" s="1">
        <v>87</v>
      </c>
      <c r="D24" s="1">
        <v>91</v>
      </c>
      <c r="E24" s="1">
        <v>93</v>
      </c>
      <c r="F24" s="1">
        <v>87</v>
      </c>
      <c r="G24" s="1">
        <v>90</v>
      </c>
      <c r="H24" s="1">
        <v>89</v>
      </c>
      <c r="I24" s="1">
        <v>81</v>
      </c>
      <c r="J24" s="1">
        <v>93</v>
      </c>
      <c r="K24" s="1">
        <v>91</v>
      </c>
      <c r="L24" s="1">
        <v>86</v>
      </c>
      <c r="M24" s="1">
        <v>82</v>
      </c>
      <c r="N24" s="1">
        <v>87</v>
      </c>
      <c r="O24" s="1">
        <v>87</v>
      </c>
      <c r="P24" s="1">
        <v>97</v>
      </c>
      <c r="Q24" s="1">
        <v>92</v>
      </c>
      <c r="R24" s="1">
        <v>97</v>
      </c>
      <c r="S24" s="1">
        <v>84</v>
      </c>
      <c r="T24" s="1">
        <v>88</v>
      </c>
      <c r="U24" s="1">
        <v>88</v>
      </c>
    </row>
    <row r="25" spans="1:21" ht="14.25" x14ac:dyDescent="0.2">
      <c r="A25" s="3">
        <v>45862</v>
      </c>
      <c r="B25" s="1">
        <v>93</v>
      </c>
      <c r="C25" s="1">
        <v>88</v>
      </c>
      <c r="D25" s="1">
        <v>91</v>
      </c>
      <c r="E25" s="1">
        <v>93</v>
      </c>
      <c r="F25" s="1">
        <v>82</v>
      </c>
      <c r="G25" s="1">
        <v>84</v>
      </c>
      <c r="H25" s="1">
        <v>87</v>
      </c>
      <c r="I25" s="1">
        <v>82</v>
      </c>
      <c r="J25" s="1">
        <v>95</v>
      </c>
      <c r="K25" s="1">
        <v>90</v>
      </c>
      <c r="L25" s="1">
        <v>87</v>
      </c>
      <c r="M25" s="1">
        <v>87</v>
      </c>
      <c r="N25" s="1">
        <v>88</v>
      </c>
      <c r="O25" s="1">
        <v>88</v>
      </c>
      <c r="P25" s="1">
        <v>94</v>
      </c>
      <c r="Q25" s="1">
        <v>92</v>
      </c>
      <c r="R25" s="1">
        <v>97</v>
      </c>
      <c r="S25" s="1">
        <v>86</v>
      </c>
      <c r="T25" s="1">
        <v>87</v>
      </c>
      <c r="U25" s="1">
        <v>91</v>
      </c>
    </row>
    <row r="26" spans="1:21" ht="14.25" x14ac:dyDescent="0.2">
      <c r="A26" s="3">
        <v>45863</v>
      </c>
      <c r="B26" s="1">
        <v>84</v>
      </c>
      <c r="C26" s="1">
        <v>89</v>
      </c>
      <c r="D26" s="1">
        <v>86</v>
      </c>
      <c r="E26" s="1">
        <v>91</v>
      </c>
      <c r="F26" s="1">
        <v>75</v>
      </c>
      <c r="G26" s="1">
        <v>82</v>
      </c>
      <c r="H26" s="1">
        <v>84</v>
      </c>
      <c r="I26" s="1">
        <v>84</v>
      </c>
      <c r="J26" s="1">
        <v>89</v>
      </c>
      <c r="K26" s="1">
        <v>92</v>
      </c>
      <c r="L26" s="1">
        <v>88</v>
      </c>
      <c r="M26" s="1">
        <v>87</v>
      </c>
      <c r="N26" s="1">
        <v>89</v>
      </c>
      <c r="O26" s="1">
        <v>90</v>
      </c>
      <c r="P26" s="1">
        <v>95</v>
      </c>
      <c r="Q26" s="1">
        <v>90</v>
      </c>
      <c r="R26" s="1">
        <v>98</v>
      </c>
      <c r="S26" s="1">
        <v>89</v>
      </c>
      <c r="T26" s="1">
        <v>88</v>
      </c>
      <c r="U26" s="1">
        <v>90</v>
      </c>
    </row>
    <row r="27" spans="1:21" ht="14.25" x14ac:dyDescent="0.2">
      <c r="A27" s="3">
        <v>45864</v>
      </c>
      <c r="B27" s="1">
        <v>84</v>
      </c>
      <c r="C27" s="1">
        <v>89</v>
      </c>
      <c r="D27" s="1">
        <v>88</v>
      </c>
      <c r="E27" s="1">
        <v>93</v>
      </c>
      <c r="F27" s="1">
        <v>82</v>
      </c>
      <c r="G27" s="1">
        <v>88</v>
      </c>
      <c r="H27" s="1">
        <v>86</v>
      </c>
      <c r="I27" s="1">
        <v>87</v>
      </c>
      <c r="J27" s="1">
        <v>87</v>
      </c>
      <c r="K27" s="1">
        <v>94</v>
      </c>
      <c r="L27" s="1">
        <v>93</v>
      </c>
      <c r="M27" s="1">
        <v>87</v>
      </c>
      <c r="N27" s="1">
        <v>87</v>
      </c>
      <c r="O27" s="1">
        <v>92</v>
      </c>
      <c r="P27" s="1">
        <v>95</v>
      </c>
      <c r="Q27" s="1">
        <v>94</v>
      </c>
      <c r="R27" s="1">
        <v>98</v>
      </c>
      <c r="S27" s="1">
        <v>86</v>
      </c>
      <c r="T27" s="1">
        <v>89</v>
      </c>
      <c r="U27" s="1">
        <v>91</v>
      </c>
    </row>
    <row r="28" spans="1:21" ht="14.25" x14ac:dyDescent="0.2">
      <c r="A28" s="3">
        <v>45865</v>
      </c>
      <c r="B28" s="1">
        <v>82</v>
      </c>
      <c r="C28" s="1">
        <v>91</v>
      </c>
      <c r="D28" s="1">
        <v>80</v>
      </c>
      <c r="E28" s="1">
        <v>93</v>
      </c>
      <c r="F28" s="1">
        <v>88</v>
      </c>
      <c r="G28" s="1">
        <v>90</v>
      </c>
      <c r="H28" s="1">
        <v>89</v>
      </c>
      <c r="I28" s="1">
        <v>87</v>
      </c>
      <c r="J28" s="1">
        <v>84</v>
      </c>
      <c r="K28" s="1">
        <v>92</v>
      </c>
      <c r="L28" s="1">
        <v>95</v>
      </c>
      <c r="M28" s="1">
        <v>90</v>
      </c>
      <c r="N28" s="1">
        <v>90</v>
      </c>
      <c r="O28" s="1">
        <v>90</v>
      </c>
      <c r="P28" s="1">
        <v>93</v>
      </c>
      <c r="Q28" s="1">
        <v>94</v>
      </c>
      <c r="R28" s="1">
        <v>97</v>
      </c>
      <c r="S28" s="1">
        <v>82</v>
      </c>
      <c r="T28" s="1">
        <v>92</v>
      </c>
      <c r="U28" s="1">
        <v>92</v>
      </c>
    </row>
    <row r="29" spans="1:21" ht="14.25" x14ac:dyDescent="0.2">
      <c r="A29" s="3">
        <v>45866</v>
      </c>
      <c r="B29" s="1">
        <v>79</v>
      </c>
      <c r="C29" s="1">
        <v>91</v>
      </c>
      <c r="D29" s="1">
        <v>88</v>
      </c>
      <c r="E29" s="1">
        <v>93</v>
      </c>
      <c r="F29" s="1">
        <v>91</v>
      </c>
      <c r="G29" s="1">
        <v>84</v>
      </c>
      <c r="H29" s="1">
        <v>91</v>
      </c>
      <c r="I29" s="1">
        <v>89</v>
      </c>
      <c r="J29" s="1">
        <v>89</v>
      </c>
      <c r="K29" s="1">
        <v>90</v>
      </c>
      <c r="L29" s="1">
        <v>96</v>
      </c>
      <c r="M29" s="1">
        <v>89</v>
      </c>
      <c r="N29" s="1">
        <v>93</v>
      </c>
      <c r="O29" s="1">
        <v>89</v>
      </c>
      <c r="P29" s="1">
        <v>90</v>
      </c>
      <c r="Q29" s="1">
        <v>90</v>
      </c>
      <c r="R29" s="1">
        <v>97</v>
      </c>
      <c r="S29" s="1">
        <v>86</v>
      </c>
      <c r="T29" s="1">
        <v>90</v>
      </c>
      <c r="U29" s="1">
        <v>94</v>
      </c>
    </row>
    <row r="30" spans="1:21" ht="14.25" x14ac:dyDescent="0.2">
      <c r="A30" s="3">
        <v>45867</v>
      </c>
      <c r="B30" s="1">
        <v>90</v>
      </c>
      <c r="C30" s="1">
        <v>89</v>
      </c>
      <c r="D30" s="1">
        <v>89</v>
      </c>
      <c r="E30" s="1">
        <v>93</v>
      </c>
      <c r="F30" s="1">
        <v>89</v>
      </c>
      <c r="G30" s="1">
        <v>89</v>
      </c>
      <c r="H30" s="1">
        <v>91</v>
      </c>
      <c r="I30" s="1">
        <v>88</v>
      </c>
      <c r="J30" s="1">
        <v>87</v>
      </c>
      <c r="K30" s="1">
        <v>83</v>
      </c>
      <c r="L30" s="1">
        <v>91</v>
      </c>
      <c r="M30" s="1">
        <v>87</v>
      </c>
      <c r="N30" s="1">
        <v>92</v>
      </c>
      <c r="O30" s="1">
        <v>85</v>
      </c>
      <c r="P30" s="1">
        <v>94</v>
      </c>
      <c r="Q30" s="1">
        <v>93</v>
      </c>
      <c r="R30" s="1">
        <v>94</v>
      </c>
      <c r="S30" s="1">
        <v>86</v>
      </c>
      <c r="T30" s="1">
        <v>82</v>
      </c>
      <c r="U30" s="1">
        <v>93</v>
      </c>
    </row>
    <row r="31" spans="1:21" ht="14.25" x14ac:dyDescent="0.2">
      <c r="A31" s="3">
        <v>45868</v>
      </c>
      <c r="B31" s="1">
        <v>91</v>
      </c>
      <c r="C31" s="1">
        <v>88</v>
      </c>
      <c r="D31" s="1">
        <v>90</v>
      </c>
      <c r="E31" s="1">
        <v>97</v>
      </c>
      <c r="F31" s="1">
        <v>87</v>
      </c>
      <c r="G31" s="1">
        <v>89</v>
      </c>
      <c r="H31" s="1">
        <v>88</v>
      </c>
      <c r="I31" s="1">
        <v>84</v>
      </c>
      <c r="J31" s="1">
        <v>89</v>
      </c>
      <c r="K31" s="1">
        <v>78</v>
      </c>
      <c r="L31" s="1">
        <v>91</v>
      </c>
      <c r="M31" s="1">
        <v>92</v>
      </c>
      <c r="N31" s="1">
        <v>90</v>
      </c>
      <c r="O31" s="1">
        <v>82</v>
      </c>
      <c r="P31" s="1">
        <v>95</v>
      </c>
      <c r="Q31" s="1">
        <v>96</v>
      </c>
      <c r="R31" s="1">
        <v>96</v>
      </c>
      <c r="S31" s="1">
        <v>90</v>
      </c>
      <c r="T31" s="1">
        <v>84</v>
      </c>
      <c r="U31" s="1">
        <v>94</v>
      </c>
    </row>
    <row r="32" spans="1:21" ht="14.25" x14ac:dyDescent="0.2">
      <c r="A32" s="3">
        <v>45869</v>
      </c>
      <c r="B32" s="1">
        <v>87</v>
      </c>
      <c r="C32" s="1">
        <v>72</v>
      </c>
      <c r="D32" s="1">
        <v>86</v>
      </c>
      <c r="E32" s="1">
        <v>99</v>
      </c>
      <c r="F32" s="1">
        <v>86</v>
      </c>
      <c r="G32" s="1">
        <v>87</v>
      </c>
      <c r="H32" s="1">
        <v>90</v>
      </c>
      <c r="I32" s="1">
        <v>88</v>
      </c>
      <c r="J32" s="1">
        <v>90</v>
      </c>
      <c r="K32" s="1">
        <v>84</v>
      </c>
      <c r="L32" s="1">
        <v>94</v>
      </c>
      <c r="M32" s="1">
        <v>90</v>
      </c>
      <c r="N32" s="1">
        <v>88</v>
      </c>
      <c r="O32" s="1">
        <v>85</v>
      </c>
      <c r="P32" s="1">
        <v>95</v>
      </c>
      <c r="Q32" s="1">
        <v>96</v>
      </c>
      <c r="R32" s="1">
        <v>88</v>
      </c>
      <c r="S32" s="1">
        <v>80</v>
      </c>
      <c r="T32" s="1">
        <v>85</v>
      </c>
      <c r="U32" s="1">
        <v>93</v>
      </c>
    </row>
    <row r="33" spans="1:21" ht="14.25" x14ac:dyDescent="0.2">
      <c r="A33" s="3">
        <v>45870</v>
      </c>
      <c r="B33" s="1">
        <v>86</v>
      </c>
      <c r="C33" s="1">
        <v>80</v>
      </c>
      <c r="D33" s="1">
        <v>86</v>
      </c>
      <c r="E33" s="1">
        <v>96</v>
      </c>
      <c r="F33" s="1">
        <v>86</v>
      </c>
      <c r="G33" s="1">
        <v>84</v>
      </c>
      <c r="H33" s="1">
        <v>93</v>
      </c>
      <c r="I33" s="1">
        <v>84</v>
      </c>
      <c r="J33" s="1">
        <v>91</v>
      </c>
      <c r="K33" s="1">
        <v>82</v>
      </c>
      <c r="L33" s="1">
        <v>95</v>
      </c>
      <c r="M33" s="1">
        <v>92</v>
      </c>
      <c r="N33" s="1">
        <v>89</v>
      </c>
      <c r="O33" s="1">
        <v>89</v>
      </c>
      <c r="P33" s="1">
        <v>96</v>
      </c>
      <c r="Q33" s="1">
        <v>91</v>
      </c>
      <c r="R33" s="1">
        <v>94</v>
      </c>
      <c r="S33" s="1">
        <v>87</v>
      </c>
      <c r="T33" s="1">
        <v>81</v>
      </c>
      <c r="U33" s="1">
        <v>89</v>
      </c>
    </row>
    <row r="34" spans="1:21" ht="14.25" x14ac:dyDescent="0.2">
      <c r="A34" s="3">
        <v>45871</v>
      </c>
      <c r="B34" s="1">
        <v>90</v>
      </c>
      <c r="C34" s="1">
        <v>84</v>
      </c>
      <c r="D34" s="1">
        <v>82</v>
      </c>
      <c r="E34" s="1">
        <v>93</v>
      </c>
      <c r="F34" s="1">
        <v>81</v>
      </c>
      <c r="G34" s="1">
        <v>84</v>
      </c>
      <c r="H34" s="1">
        <v>91</v>
      </c>
      <c r="I34" s="1">
        <v>84</v>
      </c>
      <c r="J34" s="1">
        <v>90</v>
      </c>
      <c r="K34" s="1">
        <v>86</v>
      </c>
      <c r="L34" s="1">
        <v>95</v>
      </c>
      <c r="M34" s="1">
        <v>92</v>
      </c>
      <c r="N34" s="1">
        <v>92</v>
      </c>
      <c r="O34" s="1">
        <v>83</v>
      </c>
      <c r="P34" s="1">
        <v>84</v>
      </c>
      <c r="Q34" s="1">
        <v>96</v>
      </c>
      <c r="R34" s="1">
        <v>99</v>
      </c>
      <c r="S34" s="1">
        <v>89</v>
      </c>
      <c r="T34" s="1">
        <v>84</v>
      </c>
      <c r="U34" s="1">
        <v>94</v>
      </c>
    </row>
    <row r="35" spans="1:21" ht="14.25" x14ac:dyDescent="0.2">
      <c r="A35" s="3">
        <v>45872</v>
      </c>
      <c r="B35" s="1">
        <v>84</v>
      </c>
      <c r="C35" s="1">
        <v>88</v>
      </c>
      <c r="D35" s="1">
        <v>84</v>
      </c>
      <c r="E35" s="1">
        <v>88</v>
      </c>
      <c r="F35" s="1">
        <v>84</v>
      </c>
      <c r="G35" s="1">
        <v>84</v>
      </c>
      <c r="H35" s="1">
        <v>91</v>
      </c>
      <c r="I35" s="1">
        <v>84</v>
      </c>
      <c r="J35" s="1">
        <v>91</v>
      </c>
      <c r="K35" s="1">
        <v>88</v>
      </c>
      <c r="L35" s="1">
        <v>97</v>
      </c>
      <c r="M35" s="1">
        <v>94</v>
      </c>
      <c r="N35" s="1">
        <v>91</v>
      </c>
      <c r="O35" s="1">
        <v>90</v>
      </c>
      <c r="P35" s="1">
        <v>92</v>
      </c>
      <c r="Q35" s="1">
        <v>97</v>
      </c>
      <c r="R35" s="1">
        <v>94</v>
      </c>
      <c r="S35" s="1">
        <v>88</v>
      </c>
      <c r="T35" s="1">
        <v>88</v>
      </c>
      <c r="U35" s="1">
        <v>94</v>
      </c>
    </row>
    <row r="36" spans="1:21" ht="14.25" x14ac:dyDescent="0.2">
      <c r="A36" s="3">
        <v>45873</v>
      </c>
      <c r="B36" s="1">
        <v>91</v>
      </c>
      <c r="C36" s="1">
        <v>89</v>
      </c>
      <c r="D36" s="1">
        <v>86</v>
      </c>
      <c r="E36" s="1">
        <v>89</v>
      </c>
      <c r="F36" s="1">
        <v>88</v>
      </c>
      <c r="G36" s="1">
        <v>86</v>
      </c>
      <c r="H36" s="1">
        <v>91</v>
      </c>
      <c r="I36" s="1">
        <v>82</v>
      </c>
      <c r="J36" s="1">
        <v>91</v>
      </c>
      <c r="K36" s="1">
        <v>91</v>
      </c>
      <c r="L36" s="1">
        <v>98</v>
      </c>
      <c r="M36" s="1">
        <v>97</v>
      </c>
      <c r="N36" s="1">
        <v>91</v>
      </c>
      <c r="O36" s="1">
        <v>92</v>
      </c>
      <c r="P36" s="1">
        <v>95</v>
      </c>
      <c r="Q36" s="1">
        <v>85</v>
      </c>
      <c r="R36" s="1">
        <v>87</v>
      </c>
      <c r="S36" s="1">
        <v>90</v>
      </c>
      <c r="T36" s="1">
        <v>90</v>
      </c>
      <c r="U36" s="1">
        <v>97</v>
      </c>
    </row>
    <row r="37" spans="1:21" ht="14.25" x14ac:dyDescent="0.2">
      <c r="A37" s="3">
        <v>45874</v>
      </c>
      <c r="B37" s="1">
        <v>93</v>
      </c>
      <c r="C37" s="1">
        <v>88</v>
      </c>
      <c r="D37" s="1">
        <v>90</v>
      </c>
      <c r="E37" s="1">
        <v>91</v>
      </c>
      <c r="F37" s="1">
        <v>91</v>
      </c>
      <c r="G37" s="1">
        <v>88</v>
      </c>
      <c r="H37" s="1">
        <v>93</v>
      </c>
      <c r="I37" s="1">
        <v>84</v>
      </c>
      <c r="J37" s="1">
        <v>90</v>
      </c>
      <c r="K37" s="1">
        <v>88</v>
      </c>
      <c r="L37" s="1">
        <v>96</v>
      </c>
      <c r="M37" s="1">
        <v>96</v>
      </c>
      <c r="N37" s="1">
        <v>92</v>
      </c>
      <c r="O37" s="1">
        <v>92</v>
      </c>
      <c r="P37" s="1">
        <v>93</v>
      </c>
      <c r="Q37" s="1">
        <v>96</v>
      </c>
      <c r="R37" s="1">
        <v>90</v>
      </c>
      <c r="S37" s="1">
        <v>88</v>
      </c>
      <c r="T37" s="1">
        <v>89</v>
      </c>
      <c r="U37" s="1">
        <v>95</v>
      </c>
    </row>
    <row r="38" spans="1:21" ht="14.25" x14ac:dyDescent="0.2">
      <c r="A38" s="3">
        <v>45875</v>
      </c>
      <c r="B38" s="1">
        <v>88</v>
      </c>
      <c r="C38" s="1">
        <v>84</v>
      </c>
      <c r="D38" s="1">
        <v>89</v>
      </c>
      <c r="E38" s="1">
        <v>93</v>
      </c>
      <c r="F38" s="1">
        <v>91</v>
      </c>
      <c r="G38" s="1">
        <v>84</v>
      </c>
      <c r="H38" s="1">
        <v>97</v>
      </c>
      <c r="I38" s="1">
        <v>82</v>
      </c>
      <c r="J38" s="1">
        <v>84</v>
      </c>
      <c r="K38" s="1">
        <v>86</v>
      </c>
      <c r="L38" s="1">
        <v>89</v>
      </c>
      <c r="M38" s="1">
        <v>98</v>
      </c>
      <c r="N38" s="1">
        <v>94</v>
      </c>
      <c r="O38" s="1">
        <v>89</v>
      </c>
      <c r="P38" s="1">
        <v>93</v>
      </c>
      <c r="Q38" s="1">
        <v>93</v>
      </c>
      <c r="R38" s="1">
        <v>86</v>
      </c>
      <c r="S38" s="1">
        <v>88</v>
      </c>
      <c r="T38" s="1">
        <v>92</v>
      </c>
      <c r="U38" s="1">
        <v>88</v>
      </c>
    </row>
    <row r="39" spans="1:21" ht="14.25" x14ac:dyDescent="0.2">
      <c r="A39" s="3">
        <v>45876</v>
      </c>
      <c r="B39" s="1">
        <v>91</v>
      </c>
      <c r="C39" s="1">
        <v>84</v>
      </c>
      <c r="D39" s="1">
        <v>89</v>
      </c>
      <c r="E39" s="1">
        <v>93</v>
      </c>
      <c r="F39" s="1">
        <v>91</v>
      </c>
      <c r="G39" s="1">
        <v>86</v>
      </c>
      <c r="H39" s="1">
        <v>87</v>
      </c>
      <c r="I39" s="1">
        <v>84</v>
      </c>
      <c r="J39" s="1">
        <v>81</v>
      </c>
      <c r="K39" s="1">
        <v>80</v>
      </c>
      <c r="L39" s="1">
        <v>97</v>
      </c>
      <c r="M39" s="1">
        <v>98</v>
      </c>
      <c r="N39" s="1">
        <v>90</v>
      </c>
      <c r="O39" s="1">
        <v>91</v>
      </c>
      <c r="P39" s="1">
        <v>91</v>
      </c>
      <c r="Q39" s="1">
        <v>93</v>
      </c>
      <c r="R39" s="1">
        <v>84</v>
      </c>
      <c r="S39" s="1">
        <v>86</v>
      </c>
      <c r="T39" s="1">
        <v>95</v>
      </c>
      <c r="U39" s="1">
        <v>88</v>
      </c>
    </row>
    <row r="40" spans="1:21" ht="14.25" x14ac:dyDescent="0.2">
      <c r="A40" s="3">
        <v>45877</v>
      </c>
      <c r="B40" s="1">
        <v>84</v>
      </c>
      <c r="C40" s="1">
        <v>80</v>
      </c>
      <c r="D40" s="1">
        <v>86</v>
      </c>
      <c r="E40" s="1">
        <v>93</v>
      </c>
      <c r="F40" s="1">
        <v>91</v>
      </c>
      <c r="G40" s="1">
        <v>88</v>
      </c>
      <c r="H40" s="1">
        <v>87</v>
      </c>
      <c r="I40" s="1">
        <v>84</v>
      </c>
      <c r="J40" s="1">
        <v>82</v>
      </c>
      <c r="K40" s="1">
        <v>82</v>
      </c>
      <c r="L40" s="1">
        <v>96</v>
      </c>
      <c r="M40" s="1">
        <v>100</v>
      </c>
      <c r="N40" s="1">
        <v>86</v>
      </c>
      <c r="O40" s="1">
        <v>92</v>
      </c>
      <c r="P40" s="1">
        <v>93</v>
      </c>
      <c r="Q40" s="1">
        <v>94</v>
      </c>
      <c r="R40" s="1">
        <v>92</v>
      </c>
      <c r="S40" s="1">
        <v>83</v>
      </c>
      <c r="T40" s="1">
        <v>90</v>
      </c>
      <c r="U40" s="1">
        <v>92</v>
      </c>
    </row>
    <row r="41" spans="1:21" ht="14.25" x14ac:dyDescent="0.2">
      <c r="A41" s="3">
        <v>45878</v>
      </c>
      <c r="B41" s="1">
        <v>90</v>
      </c>
      <c r="C41" s="1">
        <v>73</v>
      </c>
      <c r="D41" s="1">
        <v>82</v>
      </c>
      <c r="E41" s="1">
        <v>91</v>
      </c>
      <c r="F41" s="1">
        <v>96</v>
      </c>
      <c r="G41" s="1">
        <v>87</v>
      </c>
      <c r="H41" s="1">
        <v>86</v>
      </c>
      <c r="I41" s="1">
        <v>86</v>
      </c>
      <c r="J41" s="1">
        <v>84</v>
      </c>
      <c r="K41" s="1">
        <v>85</v>
      </c>
      <c r="L41" s="1">
        <v>95</v>
      </c>
      <c r="M41" s="1">
        <v>103</v>
      </c>
      <c r="N41" s="1">
        <v>85</v>
      </c>
      <c r="O41" s="1">
        <v>93</v>
      </c>
      <c r="P41" s="1">
        <v>94</v>
      </c>
      <c r="Q41" s="1">
        <v>91</v>
      </c>
      <c r="R41" s="1">
        <v>88</v>
      </c>
      <c r="S41" s="1">
        <v>89</v>
      </c>
      <c r="T41" s="1">
        <v>89</v>
      </c>
      <c r="U41" s="1">
        <v>93</v>
      </c>
    </row>
    <row r="42" spans="1:21" ht="14.25" x14ac:dyDescent="0.2">
      <c r="A42" s="3">
        <v>45879</v>
      </c>
      <c r="B42" s="1">
        <v>89</v>
      </c>
      <c r="C42" s="1">
        <v>80</v>
      </c>
      <c r="D42" s="1">
        <v>87</v>
      </c>
      <c r="E42" s="1">
        <v>90</v>
      </c>
      <c r="F42" s="1">
        <v>95</v>
      </c>
      <c r="G42" s="1">
        <v>88</v>
      </c>
      <c r="H42" s="1">
        <v>88</v>
      </c>
      <c r="I42" s="1">
        <v>87</v>
      </c>
      <c r="J42" s="1">
        <v>75</v>
      </c>
      <c r="K42" s="1">
        <v>83</v>
      </c>
      <c r="L42" s="1">
        <v>96</v>
      </c>
      <c r="M42" s="1">
        <v>103</v>
      </c>
      <c r="N42" s="1">
        <v>85</v>
      </c>
      <c r="O42" s="1">
        <v>93</v>
      </c>
      <c r="P42" s="1">
        <v>94</v>
      </c>
      <c r="Q42" s="1">
        <v>95</v>
      </c>
      <c r="R42" s="1">
        <v>87</v>
      </c>
      <c r="S42" s="1">
        <v>90</v>
      </c>
      <c r="T42" s="1">
        <v>86</v>
      </c>
      <c r="U42" s="1">
        <v>94</v>
      </c>
    </row>
    <row r="43" spans="1:21" ht="14.25" x14ac:dyDescent="0.2">
      <c r="A43" s="3">
        <v>45880</v>
      </c>
      <c r="B43" s="1">
        <v>88</v>
      </c>
      <c r="C43" s="1">
        <v>86</v>
      </c>
      <c r="D43" s="1">
        <v>88</v>
      </c>
      <c r="E43" s="1">
        <v>96</v>
      </c>
      <c r="F43" s="1">
        <v>89</v>
      </c>
      <c r="G43" s="1">
        <v>86</v>
      </c>
      <c r="H43" s="1">
        <v>89</v>
      </c>
      <c r="I43" s="1">
        <v>84</v>
      </c>
      <c r="J43" s="1">
        <v>82</v>
      </c>
      <c r="K43" s="1">
        <v>87</v>
      </c>
      <c r="L43" s="1">
        <v>88</v>
      </c>
      <c r="M43" s="1">
        <v>100</v>
      </c>
      <c r="N43" s="1">
        <v>88</v>
      </c>
      <c r="O43" s="1">
        <v>95</v>
      </c>
      <c r="P43" s="1">
        <v>95</v>
      </c>
      <c r="Q43" s="1">
        <v>94</v>
      </c>
      <c r="R43" s="1">
        <v>85</v>
      </c>
      <c r="S43" s="1">
        <v>90</v>
      </c>
      <c r="T43" s="1">
        <v>83</v>
      </c>
      <c r="U43" s="1">
        <v>91</v>
      </c>
    </row>
    <row r="44" spans="1:21" ht="14.25" x14ac:dyDescent="0.2">
      <c r="A44" s="3">
        <v>45881</v>
      </c>
      <c r="B44" s="1">
        <v>86</v>
      </c>
      <c r="C44" s="1">
        <v>88</v>
      </c>
      <c r="D44" s="1">
        <v>84</v>
      </c>
      <c r="E44" s="1">
        <v>98</v>
      </c>
      <c r="F44" s="1">
        <v>89</v>
      </c>
      <c r="G44" s="1">
        <v>86</v>
      </c>
      <c r="H44" s="1">
        <v>91</v>
      </c>
      <c r="I44" s="1">
        <v>81</v>
      </c>
      <c r="J44" s="1">
        <v>80</v>
      </c>
      <c r="K44" s="1">
        <v>88</v>
      </c>
      <c r="L44" s="1">
        <v>84</v>
      </c>
      <c r="M44" s="1">
        <v>90</v>
      </c>
      <c r="N44" s="1">
        <v>81</v>
      </c>
      <c r="O44" s="1">
        <v>86</v>
      </c>
      <c r="P44" s="1">
        <v>95</v>
      </c>
      <c r="Q44" s="1">
        <v>95</v>
      </c>
      <c r="R44" s="1">
        <v>88</v>
      </c>
      <c r="S44" s="1">
        <v>90</v>
      </c>
      <c r="T44" s="1">
        <v>88</v>
      </c>
      <c r="U44" s="1">
        <v>90</v>
      </c>
    </row>
    <row r="45" spans="1:21" ht="14.25" x14ac:dyDescent="0.2">
      <c r="A45" s="3">
        <v>45882</v>
      </c>
      <c r="B45" s="1">
        <v>84</v>
      </c>
      <c r="C45" s="1">
        <v>88</v>
      </c>
      <c r="D45" s="1">
        <v>86</v>
      </c>
      <c r="E45" s="1">
        <v>97</v>
      </c>
      <c r="F45" s="1">
        <v>89</v>
      </c>
      <c r="G45" s="1">
        <v>81</v>
      </c>
      <c r="H45" s="1">
        <v>91</v>
      </c>
      <c r="I45" s="1">
        <v>87</v>
      </c>
      <c r="J45" s="1">
        <v>77</v>
      </c>
      <c r="K45" s="1">
        <v>86</v>
      </c>
      <c r="L45" s="1">
        <v>81</v>
      </c>
      <c r="M45" s="1">
        <v>100</v>
      </c>
      <c r="N45" s="1">
        <v>81</v>
      </c>
      <c r="O45" s="1">
        <v>90</v>
      </c>
      <c r="P45" s="1">
        <v>96</v>
      </c>
      <c r="Q45" s="1">
        <v>95</v>
      </c>
      <c r="R45" s="1">
        <v>91</v>
      </c>
      <c r="S45" s="1">
        <v>89</v>
      </c>
      <c r="T45" s="1">
        <v>84</v>
      </c>
      <c r="U45" s="1">
        <v>89</v>
      </c>
    </row>
    <row r="46" spans="1:21" ht="14.25" x14ac:dyDescent="0.2">
      <c r="A46" s="3">
        <v>45883</v>
      </c>
      <c r="B46" s="1">
        <v>86</v>
      </c>
      <c r="C46" s="1">
        <v>87</v>
      </c>
      <c r="D46" s="1">
        <v>80</v>
      </c>
      <c r="E46" s="1">
        <v>98</v>
      </c>
      <c r="F46" s="1">
        <v>89</v>
      </c>
      <c r="G46" s="1">
        <v>87</v>
      </c>
      <c r="H46" s="1">
        <v>89</v>
      </c>
      <c r="I46" s="1">
        <v>89</v>
      </c>
      <c r="J46" s="1">
        <v>82</v>
      </c>
      <c r="K46" s="1">
        <v>90</v>
      </c>
      <c r="L46" s="1">
        <v>87</v>
      </c>
      <c r="M46" s="1">
        <v>99</v>
      </c>
      <c r="N46" s="1">
        <v>84</v>
      </c>
      <c r="O46" s="1">
        <v>90</v>
      </c>
      <c r="P46" s="1">
        <v>89</v>
      </c>
      <c r="Q46" s="1">
        <v>94</v>
      </c>
      <c r="R46" s="1">
        <v>88</v>
      </c>
      <c r="S46" s="1">
        <v>83</v>
      </c>
      <c r="T46" s="1">
        <v>85</v>
      </c>
      <c r="U46" s="1">
        <v>90</v>
      </c>
    </row>
    <row r="47" spans="1:21" ht="14.25" x14ac:dyDescent="0.2">
      <c r="A47" s="3">
        <v>45884</v>
      </c>
      <c r="B47" s="1">
        <v>89</v>
      </c>
      <c r="C47" s="1">
        <v>88</v>
      </c>
      <c r="D47" s="1">
        <v>82</v>
      </c>
      <c r="E47" s="1">
        <v>93</v>
      </c>
      <c r="F47" s="1">
        <v>94</v>
      </c>
      <c r="G47" s="1">
        <v>84</v>
      </c>
      <c r="H47" s="1">
        <v>88</v>
      </c>
      <c r="I47" s="1">
        <v>90</v>
      </c>
      <c r="J47" s="1">
        <v>82</v>
      </c>
      <c r="K47" s="1">
        <v>92</v>
      </c>
      <c r="L47" s="1">
        <v>86</v>
      </c>
      <c r="M47" s="1">
        <v>102</v>
      </c>
      <c r="N47" s="1">
        <v>87</v>
      </c>
      <c r="O47" s="1">
        <v>90</v>
      </c>
      <c r="P47" s="1">
        <v>90</v>
      </c>
      <c r="Q47" s="1">
        <v>88</v>
      </c>
      <c r="R47" s="1">
        <v>85</v>
      </c>
      <c r="S47" s="1">
        <v>73</v>
      </c>
      <c r="T47" s="1">
        <v>87</v>
      </c>
      <c r="U47" s="1">
        <v>90</v>
      </c>
    </row>
    <row r="48" spans="1:21" ht="14.25" x14ac:dyDescent="0.2">
      <c r="A48" s="3">
        <v>45885</v>
      </c>
      <c r="B48" s="1">
        <v>90</v>
      </c>
      <c r="C48" s="1">
        <v>91</v>
      </c>
      <c r="D48" s="1">
        <v>86</v>
      </c>
      <c r="E48" s="1">
        <v>93</v>
      </c>
      <c r="F48" s="1">
        <v>97</v>
      </c>
      <c r="G48" s="1">
        <v>90</v>
      </c>
      <c r="H48" s="1">
        <v>90</v>
      </c>
      <c r="I48" s="1">
        <v>86</v>
      </c>
      <c r="J48" s="1">
        <v>84</v>
      </c>
      <c r="K48" s="1">
        <v>89</v>
      </c>
      <c r="L48" s="1">
        <v>89</v>
      </c>
      <c r="M48" s="1">
        <v>101</v>
      </c>
      <c r="N48" s="1">
        <v>86</v>
      </c>
      <c r="O48" s="1">
        <v>88</v>
      </c>
      <c r="P48" s="1">
        <v>90</v>
      </c>
      <c r="Q48" s="1">
        <v>90</v>
      </c>
      <c r="R48" s="1">
        <v>91</v>
      </c>
      <c r="S48" s="1">
        <v>67</v>
      </c>
      <c r="T48" s="1">
        <v>88</v>
      </c>
      <c r="U48" s="1">
        <v>90</v>
      </c>
    </row>
    <row r="49" spans="1:21" ht="14.25" x14ac:dyDescent="0.2">
      <c r="A49" s="3">
        <v>45886</v>
      </c>
      <c r="B49" s="1">
        <v>91</v>
      </c>
      <c r="C49" s="1">
        <v>91</v>
      </c>
      <c r="D49" s="1">
        <v>84</v>
      </c>
      <c r="E49" s="1">
        <v>96</v>
      </c>
      <c r="F49" s="1">
        <v>99</v>
      </c>
      <c r="G49" s="1">
        <v>91</v>
      </c>
      <c r="H49" s="1">
        <v>91</v>
      </c>
      <c r="I49" s="1">
        <v>89</v>
      </c>
      <c r="J49" s="1">
        <v>86</v>
      </c>
      <c r="K49" s="1">
        <v>90</v>
      </c>
      <c r="L49" s="1">
        <v>86</v>
      </c>
      <c r="M49" s="1">
        <v>101</v>
      </c>
      <c r="N49" s="1">
        <v>85</v>
      </c>
      <c r="O49" s="1">
        <v>87</v>
      </c>
      <c r="P49" s="1">
        <v>91</v>
      </c>
      <c r="Q49" s="1">
        <v>92</v>
      </c>
      <c r="R49" s="1">
        <v>87</v>
      </c>
      <c r="S49" s="1">
        <v>66</v>
      </c>
      <c r="T49" s="1">
        <v>89</v>
      </c>
      <c r="U49" s="1">
        <v>89</v>
      </c>
    </row>
    <row r="50" spans="1:21" ht="14.25" x14ac:dyDescent="0.2">
      <c r="A50" s="3">
        <v>45887</v>
      </c>
      <c r="B50" s="1">
        <v>91</v>
      </c>
      <c r="C50" s="1">
        <v>89</v>
      </c>
      <c r="D50" s="1">
        <v>87</v>
      </c>
      <c r="E50" s="1">
        <v>98</v>
      </c>
      <c r="F50" s="1">
        <v>101</v>
      </c>
      <c r="G50" s="1">
        <v>91</v>
      </c>
      <c r="H50" s="1">
        <v>93</v>
      </c>
      <c r="I50" s="1">
        <v>90</v>
      </c>
      <c r="J50" s="1">
        <v>86</v>
      </c>
      <c r="K50" s="1">
        <v>90</v>
      </c>
      <c r="L50" s="1">
        <v>88</v>
      </c>
      <c r="M50" s="1">
        <v>97</v>
      </c>
      <c r="N50" s="1">
        <v>86</v>
      </c>
      <c r="O50" s="1">
        <v>88</v>
      </c>
      <c r="P50" s="1">
        <v>93</v>
      </c>
      <c r="Q50" s="1">
        <v>94</v>
      </c>
      <c r="R50" s="1">
        <v>87</v>
      </c>
      <c r="S50" s="1">
        <v>77</v>
      </c>
      <c r="T50" s="1">
        <v>89</v>
      </c>
      <c r="U50" s="1">
        <v>88</v>
      </c>
    </row>
    <row r="51" spans="1:21" ht="14.25" x14ac:dyDescent="0.2">
      <c r="A51" s="3">
        <v>45888</v>
      </c>
      <c r="B51" s="1">
        <v>90</v>
      </c>
      <c r="C51" s="1">
        <v>89</v>
      </c>
      <c r="D51" s="1">
        <v>90</v>
      </c>
      <c r="E51" s="1">
        <v>98</v>
      </c>
      <c r="F51" s="1">
        <v>101</v>
      </c>
      <c r="G51" s="1">
        <v>87</v>
      </c>
      <c r="H51" s="1">
        <v>91</v>
      </c>
      <c r="I51" s="1">
        <v>90</v>
      </c>
      <c r="J51" s="1">
        <v>89</v>
      </c>
      <c r="K51" s="1">
        <v>89</v>
      </c>
      <c r="L51" s="1">
        <v>88</v>
      </c>
      <c r="M51" s="1">
        <v>95</v>
      </c>
      <c r="N51" s="1">
        <v>90</v>
      </c>
      <c r="O51" s="1">
        <v>90</v>
      </c>
      <c r="P51" s="1">
        <v>92</v>
      </c>
      <c r="Q51" s="1">
        <v>96</v>
      </c>
      <c r="R51" s="1">
        <v>84</v>
      </c>
      <c r="S51" s="1">
        <v>82</v>
      </c>
      <c r="T51" s="1">
        <v>86</v>
      </c>
      <c r="U51" s="1">
        <v>89</v>
      </c>
    </row>
    <row r="52" spans="1:21" ht="14.25" x14ac:dyDescent="0.2">
      <c r="A52" s="3">
        <v>45889</v>
      </c>
      <c r="B52" s="1">
        <v>89</v>
      </c>
      <c r="C52" s="1">
        <v>88</v>
      </c>
      <c r="D52" s="1">
        <v>79</v>
      </c>
      <c r="E52" s="1">
        <v>89</v>
      </c>
      <c r="F52" s="1">
        <v>97</v>
      </c>
      <c r="G52" s="1">
        <v>86</v>
      </c>
      <c r="H52" s="1">
        <v>93</v>
      </c>
      <c r="I52" s="1">
        <v>87</v>
      </c>
      <c r="J52" s="1">
        <v>88</v>
      </c>
      <c r="K52" s="1">
        <v>92</v>
      </c>
      <c r="L52" s="1">
        <v>93</v>
      </c>
      <c r="M52" s="1">
        <v>96</v>
      </c>
      <c r="N52" s="1">
        <v>90</v>
      </c>
      <c r="O52" s="1">
        <v>88</v>
      </c>
      <c r="P52" s="1">
        <v>93</v>
      </c>
      <c r="Q52" s="1">
        <v>93</v>
      </c>
      <c r="R52" s="1">
        <v>84</v>
      </c>
      <c r="S52" s="1">
        <v>84</v>
      </c>
      <c r="T52" s="1">
        <v>89</v>
      </c>
      <c r="U52" s="1">
        <v>88</v>
      </c>
    </row>
    <row r="53" spans="1:21" ht="14.25" x14ac:dyDescent="0.2">
      <c r="A53" s="3">
        <v>45890</v>
      </c>
      <c r="B53" s="1">
        <v>90</v>
      </c>
      <c r="C53" s="1">
        <v>82</v>
      </c>
      <c r="D53" s="1">
        <v>84</v>
      </c>
      <c r="E53" s="1">
        <v>91</v>
      </c>
      <c r="F53" s="1">
        <v>87</v>
      </c>
      <c r="G53" s="1">
        <v>88</v>
      </c>
      <c r="H53" s="1">
        <v>93</v>
      </c>
      <c r="I53" s="1">
        <v>88</v>
      </c>
      <c r="J53" s="1">
        <v>82</v>
      </c>
      <c r="K53" s="1">
        <v>94</v>
      </c>
      <c r="L53" s="1">
        <v>91</v>
      </c>
      <c r="M53" s="1">
        <v>99</v>
      </c>
      <c r="N53" s="1">
        <v>85</v>
      </c>
      <c r="O53" s="1">
        <v>88</v>
      </c>
      <c r="P53" s="1">
        <v>93</v>
      </c>
      <c r="Q53" s="1">
        <v>94</v>
      </c>
      <c r="R53" s="1">
        <v>88</v>
      </c>
      <c r="S53" s="1">
        <v>84</v>
      </c>
      <c r="T53" s="1">
        <v>92</v>
      </c>
      <c r="U53" s="1">
        <v>89</v>
      </c>
    </row>
    <row r="54" spans="1:21" ht="14.25" x14ac:dyDescent="0.2">
      <c r="A54" s="3">
        <v>45891</v>
      </c>
      <c r="B54" s="1">
        <v>91</v>
      </c>
      <c r="C54" s="1">
        <v>79</v>
      </c>
      <c r="D54" s="1">
        <v>87</v>
      </c>
      <c r="E54" s="1">
        <v>91</v>
      </c>
      <c r="F54" s="1">
        <v>86</v>
      </c>
      <c r="G54" s="1">
        <v>90</v>
      </c>
      <c r="H54" s="1">
        <v>91</v>
      </c>
      <c r="I54" s="1">
        <v>88</v>
      </c>
      <c r="J54" s="1">
        <v>84</v>
      </c>
      <c r="K54" s="1">
        <v>93</v>
      </c>
      <c r="L54" s="1">
        <v>88</v>
      </c>
      <c r="M54" s="1">
        <v>104</v>
      </c>
      <c r="N54" s="1">
        <v>82</v>
      </c>
      <c r="O54" s="1">
        <v>85</v>
      </c>
      <c r="P54" s="1">
        <v>94</v>
      </c>
      <c r="Q54" s="1">
        <v>98</v>
      </c>
      <c r="R54" s="1">
        <v>84</v>
      </c>
      <c r="S54" s="1">
        <v>88</v>
      </c>
      <c r="T54" s="1">
        <v>93</v>
      </c>
      <c r="U54" s="1">
        <v>92</v>
      </c>
    </row>
    <row r="55" spans="1:21" ht="14.25" x14ac:dyDescent="0.2">
      <c r="A55" s="3">
        <v>45892</v>
      </c>
      <c r="B55" s="1">
        <v>91</v>
      </c>
      <c r="C55" s="1">
        <v>81</v>
      </c>
      <c r="D55" s="1">
        <v>87</v>
      </c>
      <c r="E55" s="1">
        <v>90</v>
      </c>
      <c r="F55" s="1">
        <v>88</v>
      </c>
      <c r="G55" s="1">
        <v>88</v>
      </c>
      <c r="H55" s="1">
        <v>95</v>
      </c>
      <c r="I55" s="1">
        <v>90</v>
      </c>
      <c r="J55" s="1">
        <v>84</v>
      </c>
      <c r="K55" s="1">
        <v>87</v>
      </c>
      <c r="L55" s="1">
        <v>87</v>
      </c>
      <c r="M55" s="1">
        <v>98</v>
      </c>
      <c r="N55" s="1">
        <v>78</v>
      </c>
      <c r="O55" s="1">
        <v>81</v>
      </c>
      <c r="P55" s="1">
        <v>93</v>
      </c>
      <c r="Q55" s="1">
        <v>92</v>
      </c>
      <c r="R55" s="1">
        <v>88</v>
      </c>
      <c r="S55" s="1">
        <v>90</v>
      </c>
      <c r="T55" s="1">
        <v>93</v>
      </c>
      <c r="U55" s="1">
        <v>87</v>
      </c>
    </row>
    <row r="56" spans="1:21" ht="14.25" x14ac:dyDescent="0.2">
      <c r="A56" s="3">
        <v>45893</v>
      </c>
      <c r="B56" s="1">
        <v>91</v>
      </c>
      <c r="C56" s="1">
        <v>82</v>
      </c>
      <c r="D56" s="1">
        <v>88</v>
      </c>
      <c r="E56" s="1">
        <v>80</v>
      </c>
      <c r="F56" s="1">
        <v>92</v>
      </c>
      <c r="G56" s="1">
        <v>93</v>
      </c>
      <c r="H56" s="1">
        <v>93</v>
      </c>
      <c r="I56" s="1">
        <v>89</v>
      </c>
      <c r="J56" s="1">
        <v>87</v>
      </c>
      <c r="K56" s="1">
        <v>85</v>
      </c>
      <c r="L56" s="1">
        <v>83</v>
      </c>
      <c r="M56" s="1">
        <v>95</v>
      </c>
      <c r="N56" s="1">
        <v>83</v>
      </c>
      <c r="O56" s="1">
        <v>86</v>
      </c>
      <c r="P56" s="1">
        <v>90</v>
      </c>
      <c r="Q56" s="1">
        <v>93</v>
      </c>
      <c r="R56" s="1">
        <v>86</v>
      </c>
      <c r="S56" s="1">
        <v>84</v>
      </c>
      <c r="T56" s="1">
        <v>88</v>
      </c>
      <c r="U56" s="1">
        <v>89</v>
      </c>
    </row>
    <row r="57" spans="1:21" ht="14.25" x14ac:dyDescent="0.2">
      <c r="A57" s="3">
        <v>45894</v>
      </c>
      <c r="B57" s="1">
        <v>84</v>
      </c>
      <c r="C57" s="1">
        <v>84</v>
      </c>
      <c r="D57" s="1">
        <v>90</v>
      </c>
      <c r="E57" s="1">
        <v>82</v>
      </c>
      <c r="F57" s="1">
        <v>92</v>
      </c>
      <c r="G57" s="1">
        <v>90</v>
      </c>
      <c r="H57" s="1">
        <v>91</v>
      </c>
      <c r="I57" s="1">
        <v>88</v>
      </c>
      <c r="J57" s="1">
        <v>82</v>
      </c>
      <c r="K57" s="1">
        <v>84</v>
      </c>
      <c r="L57" s="1">
        <v>85</v>
      </c>
      <c r="M57" s="1">
        <v>94</v>
      </c>
      <c r="N57" s="1">
        <v>78</v>
      </c>
      <c r="O57" s="1">
        <v>87</v>
      </c>
      <c r="P57" s="1">
        <v>89</v>
      </c>
      <c r="Q57" s="1">
        <v>95</v>
      </c>
      <c r="R57" s="1">
        <v>85</v>
      </c>
      <c r="S57" s="1">
        <v>82</v>
      </c>
      <c r="T57" s="1">
        <v>84</v>
      </c>
      <c r="U57" s="1">
        <v>84</v>
      </c>
    </row>
    <row r="58" spans="1:21" ht="14.25" x14ac:dyDescent="0.2">
      <c r="A58" s="3">
        <v>45895</v>
      </c>
      <c r="B58" s="1">
        <v>88</v>
      </c>
      <c r="C58" s="1">
        <v>87</v>
      </c>
      <c r="D58" s="1">
        <v>91</v>
      </c>
      <c r="E58" s="1">
        <v>89</v>
      </c>
      <c r="F58" s="1">
        <v>90</v>
      </c>
      <c r="G58" s="1">
        <v>91</v>
      </c>
      <c r="H58" s="1">
        <v>88</v>
      </c>
      <c r="I58" s="1">
        <v>89</v>
      </c>
      <c r="J58" s="1">
        <v>86</v>
      </c>
      <c r="K58" s="1">
        <v>84</v>
      </c>
      <c r="L58" s="1">
        <v>88</v>
      </c>
      <c r="M58" s="1">
        <v>92</v>
      </c>
      <c r="N58" s="1">
        <v>83</v>
      </c>
      <c r="O58" s="1">
        <v>90</v>
      </c>
      <c r="P58" s="1">
        <v>90</v>
      </c>
      <c r="Q58" s="1">
        <v>99</v>
      </c>
      <c r="R58" s="1">
        <v>90</v>
      </c>
      <c r="S58" s="1">
        <v>82</v>
      </c>
      <c r="T58" s="1">
        <v>86</v>
      </c>
      <c r="U58" s="1">
        <v>86</v>
      </c>
    </row>
    <row r="59" spans="1:21" ht="14.25" x14ac:dyDescent="0.2">
      <c r="A59" s="3">
        <v>45896</v>
      </c>
      <c r="B59" s="1">
        <v>84</v>
      </c>
      <c r="C59" s="1">
        <v>90</v>
      </c>
      <c r="D59" s="1">
        <v>89</v>
      </c>
      <c r="E59" s="1">
        <v>88</v>
      </c>
      <c r="F59" s="1">
        <v>90</v>
      </c>
      <c r="G59" s="1">
        <v>91</v>
      </c>
      <c r="H59" s="1">
        <v>84</v>
      </c>
      <c r="I59" s="1">
        <v>90</v>
      </c>
      <c r="J59" s="1">
        <v>88</v>
      </c>
      <c r="K59" s="1">
        <v>86</v>
      </c>
      <c r="L59" s="1">
        <v>88</v>
      </c>
      <c r="M59" s="1">
        <v>88</v>
      </c>
      <c r="N59" s="1">
        <v>80</v>
      </c>
      <c r="O59" s="1">
        <v>83</v>
      </c>
      <c r="P59" s="1">
        <v>89</v>
      </c>
      <c r="Q59" s="1">
        <v>95</v>
      </c>
      <c r="R59" s="1">
        <v>90</v>
      </c>
      <c r="S59" s="1">
        <v>86</v>
      </c>
      <c r="T59" s="1">
        <v>88</v>
      </c>
      <c r="U59" s="1">
        <v>85</v>
      </c>
    </row>
    <row r="60" spans="1:21" ht="14.25" x14ac:dyDescent="0.2">
      <c r="A60" s="3">
        <v>45897</v>
      </c>
      <c r="B60" s="1">
        <v>86</v>
      </c>
      <c r="C60" s="1">
        <v>90</v>
      </c>
      <c r="D60" s="1">
        <v>90</v>
      </c>
      <c r="E60" s="1">
        <v>90</v>
      </c>
      <c r="F60" s="1">
        <v>92</v>
      </c>
      <c r="G60" s="1">
        <v>81</v>
      </c>
      <c r="H60" s="1">
        <v>82</v>
      </c>
      <c r="I60" s="1">
        <v>91</v>
      </c>
      <c r="J60" s="1">
        <v>90</v>
      </c>
      <c r="K60" s="1">
        <v>86</v>
      </c>
      <c r="L60" s="1">
        <v>90</v>
      </c>
      <c r="M60" s="1">
        <v>88</v>
      </c>
      <c r="N60" s="1">
        <v>86</v>
      </c>
      <c r="O60" s="1">
        <v>75</v>
      </c>
      <c r="P60" s="1">
        <v>87</v>
      </c>
      <c r="Q60" s="1">
        <v>95</v>
      </c>
      <c r="R60" s="1">
        <v>80</v>
      </c>
      <c r="S60" s="1">
        <v>90</v>
      </c>
      <c r="T60" s="1">
        <v>91</v>
      </c>
      <c r="U60" s="1">
        <v>83</v>
      </c>
    </row>
    <row r="61" spans="1:21" ht="14.25" x14ac:dyDescent="0.2">
      <c r="A61" s="3">
        <v>45898</v>
      </c>
      <c r="B61" s="1">
        <v>88</v>
      </c>
      <c r="C61" s="1">
        <v>91</v>
      </c>
      <c r="D61" s="1">
        <v>93</v>
      </c>
      <c r="E61" s="1">
        <v>91</v>
      </c>
      <c r="F61" s="1">
        <v>92</v>
      </c>
      <c r="G61" s="1">
        <v>86</v>
      </c>
      <c r="H61" s="1">
        <v>82</v>
      </c>
      <c r="I61" s="1">
        <v>89</v>
      </c>
      <c r="J61" s="1">
        <v>87</v>
      </c>
      <c r="K61" s="1">
        <v>85</v>
      </c>
      <c r="L61" s="1">
        <v>90</v>
      </c>
      <c r="M61" s="1">
        <v>89</v>
      </c>
      <c r="N61" s="1">
        <v>89</v>
      </c>
      <c r="O61" s="1">
        <v>86</v>
      </c>
      <c r="P61" s="1">
        <v>84</v>
      </c>
      <c r="Q61" s="1">
        <v>93</v>
      </c>
      <c r="R61" s="1">
        <v>86</v>
      </c>
      <c r="S61" s="1">
        <v>92</v>
      </c>
      <c r="T61" s="1">
        <v>92</v>
      </c>
      <c r="U61" s="1">
        <v>81</v>
      </c>
    </row>
    <row r="62" spans="1:21" ht="14.25" x14ac:dyDescent="0.2">
      <c r="A62" s="3">
        <v>45899</v>
      </c>
      <c r="B62" s="1">
        <v>84</v>
      </c>
      <c r="C62" s="1">
        <v>91</v>
      </c>
      <c r="D62" s="1">
        <v>93</v>
      </c>
      <c r="E62" s="1">
        <v>91</v>
      </c>
      <c r="F62" s="1">
        <v>88</v>
      </c>
      <c r="G62" s="1">
        <v>81</v>
      </c>
      <c r="H62" s="1">
        <v>78</v>
      </c>
      <c r="I62" s="1">
        <v>88</v>
      </c>
      <c r="J62" s="1">
        <v>88</v>
      </c>
      <c r="K62" s="1">
        <v>85</v>
      </c>
      <c r="L62" s="1">
        <v>88</v>
      </c>
      <c r="M62" s="1">
        <v>89</v>
      </c>
      <c r="N62" s="1">
        <v>89</v>
      </c>
      <c r="O62" s="1">
        <v>79</v>
      </c>
      <c r="P62" s="1">
        <v>85</v>
      </c>
      <c r="Q62" s="1">
        <v>90</v>
      </c>
      <c r="R62" s="1">
        <v>80</v>
      </c>
      <c r="S62" s="1">
        <v>87</v>
      </c>
      <c r="T62" s="1">
        <v>88</v>
      </c>
      <c r="U62" s="1">
        <v>74</v>
      </c>
    </row>
    <row r="63" spans="1:21" ht="14.25" x14ac:dyDescent="0.2">
      <c r="A63" s="3">
        <v>45900</v>
      </c>
      <c r="B63" s="1">
        <v>82</v>
      </c>
      <c r="C63" s="1">
        <v>88</v>
      </c>
      <c r="D63" s="1">
        <v>91</v>
      </c>
      <c r="E63" s="1">
        <v>84</v>
      </c>
      <c r="F63" s="1">
        <v>87</v>
      </c>
      <c r="G63" s="1">
        <v>82</v>
      </c>
      <c r="H63" s="1">
        <v>77</v>
      </c>
      <c r="I63" s="1">
        <v>89</v>
      </c>
      <c r="J63" s="1">
        <v>87</v>
      </c>
      <c r="K63" s="1">
        <v>85</v>
      </c>
      <c r="L63" s="1">
        <v>80</v>
      </c>
      <c r="M63" s="1">
        <v>86</v>
      </c>
      <c r="N63" s="1">
        <v>88</v>
      </c>
      <c r="O63" s="1">
        <v>79</v>
      </c>
      <c r="P63" s="1">
        <v>89</v>
      </c>
      <c r="Q63" s="1">
        <v>92</v>
      </c>
      <c r="R63" s="1">
        <v>89</v>
      </c>
      <c r="S63" s="1">
        <v>90</v>
      </c>
      <c r="T63" s="1">
        <v>89</v>
      </c>
      <c r="U63" s="1">
        <v>84</v>
      </c>
    </row>
    <row r="64" spans="1:21" ht="14.25" x14ac:dyDescent="0.2">
      <c r="A64" s="3">
        <v>45901</v>
      </c>
      <c r="B64" s="1">
        <v>80</v>
      </c>
      <c r="C64" s="1">
        <v>88</v>
      </c>
      <c r="D64" s="1">
        <v>87</v>
      </c>
      <c r="E64" s="1">
        <v>88</v>
      </c>
      <c r="F64" s="1">
        <v>79</v>
      </c>
      <c r="G64" s="1">
        <v>80</v>
      </c>
      <c r="H64" s="1">
        <v>84</v>
      </c>
      <c r="I64" s="1">
        <v>88</v>
      </c>
      <c r="J64" s="1">
        <v>82</v>
      </c>
      <c r="K64" s="1">
        <v>85</v>
      </c>
      <c r="L64" s="1">
        <v>85</v>
      </c>
      <c r="M64" s="1">
        <v>84</v>
      </c>
      <c r="N64" s="1">
        <v>81</v>
      </c>
      <c r="O64" s="1">
        <v>71</v>
      </c>
      <c r="P64" s="1">
        <v>90</v>
      </c>
      <c r="Q64" s="1">
        <v>95</v>
      </c>
      <c r="R64" s="1">
        <v>91</v>
      </c>
      <c r="S64" s="1">
        <v>90</v>
      </c>
      <c r="T64" s="1">
        <v>90</v>
      </c>
      <c r="U64" s="1">
        <v>87</v>
      </c>
    </row>
    <row r="65" spans="1:21" ht="14.25" x14ac:dyDescent="0.2">
      <c r="A65" s="3">
        <v>45902</v>
      </c>
      <c r="B65" s="1">
        <v>73</v>
      </c>
      <c r="C65" s="1">
        <v>91</v>
      </c>
      <c r="D65" s="1">
        <v>84</v>
      </c>
      <c r="E65" s="1">
        <v>91</v>
      </c>
      <c r="F65" s="1">
        <v>81</v>
      </c>
      <c r="G65" s="1">
        <v>75</v>
      </c>
      <c r="H65" s="1">
        <v>84</v>
      </c>
      <c r="I65" s="1">
        <v>86</v>
      </c>
      <c r="J65" s="1">
        <v>80</v>
      </c>
      <c r="K65" s="1">
        <v>88</v>
      </c>
      <c r="L65" s="1">
        <v>86</v>
      </c>
      <c r="M65" s="1">
        <v>83</v>
      </c>
      <c r="N65" s="1">
        <v>85</v>
      </c>
      <c r="O65" s="1">
        <v>78</v>
      </c>
      <c r="P65" s="1">
        <v>91</v>
      </c>
      <c r="Q65" s="1">
        <v>96</v>
      </c>
      <c r="R65" s="1">
        <v>89</v>
      </c>
      <c r="S65" s="1">
        <v>84</v>
      </c>
      <c r="T65" s="1">
        <v>90</v>
      </c>
      <c r="U65" s="1">
        <v>90</v>
      </c>
    </row>
    <row r="66" spans="1:21" ht="14.25" x14ac:dyDescent="0.2">
      <c r="A66" s="3">
        <v>45903</v>
      </c>
      <c r="B66" s="1">
        <v>87</v>
      </c>
      <c r="C66" s="1">
        <v>93</v>
      </c>
      <c r="D66" s="1">
        <v>77</v>
      </c>
      <c r="E66" s="1">
        <v>84</v>
      </c>
      <c r="F66" s="1">
        <v>82</v>
      </c>
      <c r="G66" s="1">
        <v>73</v>
      </c>
      <c r="H66" s="1">
        <v>89</v>
      </c>
      <c r="I66" s="1">
        <v>87</v>
      </c>
      <c r="J66" s="1">
        <v>81</v>
      </c>
      <c r="K66" s="1">
        <v>87</v>
      </c>
      <c r="L66" s="1">
        <v>85</v>
      </c>
      <c r="M66" s="1">
        <v>88</v>
      </c>
      <c r="N66" s="1">
        <v>83</v>
      </c>
      <c r="O66" s="1">
        <v>79</v>
      </c>
      <c r="P66" s="1">
        <v>92</v>
      </c>
      <c r="Q66" s="1">
        <v>95</v>
      </c>
      <c r="R66" s="1">
        <v>85</v>
      </c>
      <c r="S66" s="1">
        <v>90</v>
      </c>
      <c r="T66" s="1">
        <v>92</v>
      </c>
      <c r="U66" s="1">
        <v>89</v>
      </c>
    </row>
    <row r="67" spans="1:21" ht="14.25" x14ac:dyDescent="0.2">
      <c r="A67" s="3">
        <v>45904</v>
      </c>
      <c r="B67" s="1">
        <v>84</v>
      </c>
      <c r="C67" s="1">
        <v>81</v>
      </c>
      <c r="D67" s="1">
        <v>90</v>
      </c>
      <c r="E67" s="1">
        <v>93</v>
      </c>
      <c r="F67" s="1">
        <v>87</v>
      </c>
      <c r="G67" s="1">
        <v>81</v>
      </c>
      <c r="H67" s="1">
        <v>95</v>
      </c>
      <c r="I67" s="1">
        <v>87</v>
      </c>
      <c r="J67" s="1">
        <v>82</v>
      </c>
      <c r="K67" s="1">
        <v>85</v>
      </c>
      <c r="L67" s="1">
        <v>88</v>
      </c>
      <c r="M67" s="1">
        <v>91</v>
      </c>
      <c r="N67" s="1">
        <v>85</v>
      </c>
      <c r="O67" s="1">
        <v>83</v>
      </c>
      <c r="P67" s="1">
        <v>84</v>
      </c>
      <c r="Q67" s="1">
        <v>80</v>
      </c>
      <c r="R67" s="1">
        <v>77</v>
      </c>
      <c r="S67" s="1">
        <v>89</v>
      </c>
      <c r="T67" s="1">
        <v>82</v>
      </c>
      <c r="U67" s="1">
        <v>92</v>
      </c>
    </row>
    <row r="68" spans="1:21" ht="14.25" x14ac:dyDescent="0.2">
      <c r="A68" s="3">
        <v>45905</v>
      </c>
      <c r="B68" s="1">
        <v>87</v>
      </c>
      <c r="C68" s="1">
        <v>81</v>
      </c>
      <c r="D68" s="1">
        <v>91</v>
      </c>
      <c r="E68" s="1">
        <v>96</v>
      </c>
      <c r="F68" s="1">
        <v>81</v>
      </c>
      <c r="G68" s="1">
        <v>90</v>
      </c>
      <c r="H68" s="1">
        <v>93</v>
      </c>
      <c r="I68" s="1">
        <v>84</v>
      </c>
      <c r="J68" s="1">
        <v>84</v>
      </c>
      <c r="K68" s="1">
        <v>81</v>
      </c>
      <c r="L68" s="1">
        <v>83</v>
      </c>
      <c r="M68" s="1">
        <v>89</v>
      </c>
      <c r="N68" s="1">
        <v>88</v>
      </c>
      <c r="O68" s="1">
        <v>83</v>
      </c>
      <c r="P68" s="1">
        <v>85</v>
      </c>
      <c r="Q68" s="1">
        <v>78</v>
      </c>
      <c r="R68" s="1">
        <v>85</v>
      </c>
      <c r="S68" s="1">
        <v>89</v>
      </c>
      <c r="T68" s="1">
        <v>89</v>
      </c>
      <c r="U68" s="1">
        <v>87</v>
      </c>
    </row>
    <row r="69" spans="1:21" ht="14.25" x14ac:dyDescent="0.2">
      <c r="A69" s="3">
        <v>45906</v>
      </c>
      <c r="B69" s="1">
        <v>89</v>
      </c>
      <c r="C69" s="1">
        <v>82</v>
      </c>
      <c r="D69" s="1">
        <v>89</v>
      </c>
      <c r="E69" s="1">
        <v>96</v>
      </c>
      <c r="F69" s="1">
        <v>66</v>
      </c>
      <c r="G69" s="1">
        <v>88</v>
      </c>
      <c r="H69" s="1">
        <v>91</v>
      </c>
      <c r="I69" s="1">
        <v>73</v>
      </c>
      <c r="J69" s="1">
        <v>81</v>
      </c>
      <c r="K69" s="1">
        <v>81</v>
      </c>
      <c r="L69" s="1">
        <v>85</v>
      </c>
      <c r="M69" s="1">
        <v>85</v>
      </c>
      <c r="N69" s="1">
        <v>87</v>
      </c>
      <c r="O69" s="1">
        <v>85</v>
      </c>
      <c r="P69" s="1">
        <v>90</v>
      </c>
      <c r="Q69" s="1">
        <v>75</v>
      </c>
      <c r="R69" s="1">
        <v>85</v>
      </c>
      <c r="S69" s="1">
        <v>88</v>
      </c>
      <c r="T69" s="1">
        <v>91</v>
      </c>
      <c r="U69" s="1">
        <v>85</v>
      </c>
    </row>
    <row r="70" spans="1:21" ht="14.25" x14ac:dyDescent="0.2">
      <c r="A70" s="3">
        <v>45907</v>
      </c>
      <c r="B70" s="1">
        <v>89</v>
      </c>
      <c r="C70" s="1">
        <v>86</v>
      </c>
      <c r="D70" s="1">
        <v>90</v>
      </c>
      <c r="E70" s="1">
        <v>91</v>
      </c>
      <c r="F70" s="1">
        <v>66</v>
      </c>
      <c r="G70" s="1">
        <v>87</v>
      </c>
      <c r="H70" s="1">
        <v>88</v>
      </c>
      <c r="I70" s="1">
        <v>75</v>
      </c>
      <c r="J70" s="1">
        <v>86</v>
      </c>
      <c r="K70" s="1">
        <v>83</v>
      </c>
      <c r="L70" s="1">
        <v>80</v>
      </c>
      <c r="M70" s="1">
        <v>86</v>
      </c>
      <c r="N70" s="1">
        <v>89</v>
      </c>
      <c r="O70" s="1">
        <v>84</v>
      </c>
      <c r="P70" s="1">
        <v>91</v>
      </c>
      <c r="Q70" s="1">
        <v>69</v>
      </c>
      <c r="R70" s="1">
        <v>92</v>
      </c>
      <c r="S70" s="1">
        <v>88</v>
      </c>
      <c r="T70" s="1">
        <v>90</v>
      </c>
      <c r="U70" s="1">
        <v>85</v>
      </c>
    </row>
    <row r="71" spans="1:21" ht="14.25" x14ac:dyDescent="0.2">
      <c r="A71" s="3">
        <v>45908</v>
      </c>
      <c r="B71" s="1">
        <v>89</v>
      </c>
      <c r="C71" s="1">
        <v>88</v>
      </c>
      <c r="D71" s="1">
        <v>89</v>
      </c>
      <c r="E71" s="1">
        <v>91</v>
      </c>
      <c r="F71" s="1">
        <v>75</v>
      </c>
      <c r="G71" s="1">
        <v>86</v>
      </c>
      <c r="H71" s="1">
        <v>87</v>
      </c>
      <c r="I71" s="1">
        <v>81</v>
      </c>
      <c r="J71" s="1">
        <v>73</v>
      </c>
      <c r="K71" s="1">
        <v>85</v>
      </c>
      <c r="L71" s="1">
        <v>83</v>
      </c>
      <c r="M71" s="1">
        <v>88</v>
      </c>
      <c r="N71" s="1">
        <v>90</v>
      </c>
      <c r="O71" s="1">
        <v>87</v>
      </c>
      <c r="P71" s="1">
        <v>93</v>
      </c>
      <c r="Q71" s="1">
        <v>73</v>
      </c>
      <c r="R71" s="1">
        <v>88</v>
      </c>
      <c r="S71" s="1">
        <v>91</v>
      </c>
      <c r="T71" s="1">
        <v>84</v>
      </c>
      <c r="U71" s="1">
        <v>84</v>
      </c>
    </row>
    <row r="72" spans="1:21" ht="14.25" x14ac:dyDescent="0.2">
      <c r="A72" s="3">
        <v>45909</v>
      </c>
      <c r="B72" s="1">
        <v>91</v>
      </c>
      <c r="C72" s="1">
        <v>84</v>
      </c>
      <c r="D72" s="1">
        <v>79</v>
      </c>
      <c r="E72" s="1">
        <v>77</v>
      </c>
      <c r="F72" s="1">
        <v>80</v>
      </c>
      <c r="G72" s="1">
        <v>86</v>
      </c>
      <c r="H72" s="1">
        <v>91</v>
      </c>
      <c r="I72" s="1">
        <v>82</v>
      </c>
      <c r="J72" s="1">
        <v>84</v>
      </c>
      <c r="K72" s="1">
        <v>86</v>
      </c>
      <c r="L72" s="1">
        <v>83</v>
      </c>
      <c r="M72" s="1">
        <v>89</v>
      </c>
      <c r="N72" s="1">
        <v>88</v>
      </c>
      <c r="O72" s="1">
        <v>84</v>
      </c>
      <c r="P72" s="1">
        <v>92</v>
      </c>
      <c r="Q72" s="1">
        <v>81</v>
      </c>
      <c r="R72" s="1">
        <v>83</v>
      </c>
      <c r="S72" s="1">
        <v>90</v>
      </c>
      <c r="T72" s="1">
        <v>84</v>
      </c>
      <c r="U72" s="1">
        <v>87</v>
      </c>
    </row>
    <row r="73" spans="1:21" ht="14.25" x14ac:dyDescent="0.2">
      <c r="A73" s="3">
        <v>45910</v>
      </c>
      <c r="B73" s="1">
        <v>84</v>
      </c>
      <c r="C73" s="1">
        <v>80</v>
      </c>
      <c r="D73" s="1">
        <v>78</v>
      </c>
      <c r="E73" s="1">
        <v>87</v>
      </c>
      <c r="F73" s="1">
        <v>82</v>
      </c>
      <c r="G73" s="1">
        <v>89</v>
      </c>
      <c r="H73" s="1">
        <v>95</v>
      </c>
      <c r="I73" s="1">
        <v>79</v>
      </c>
      <c r="J73" s="1">
        <v>84</v>
      </c>
      <c r="K73" s="1">
        <v>84</v>
      </c>
      <c r="L73" s="1">
        <v>85</v>
      </c>
      <c r="M73" s="1">
        <v>89</v>
      </c>
      <c r="N73" s="1">
        <v>87</v>
      </c>
      <c r="O73" s="1">
        <v>80</v>
      </c>
      <c r="P73" s="1">
        <v>94</v>
      </c>
      <c r="Q73" s="1">
        <v>84</v>
      </c>
      <c r="R73" s="1">
        <v>84</v>
      </c>
      <c r="S73" s="1">
        <v>89</v>
      </c>
      <c r="T73" s="1">
        <v>86</v>
      </c>
      <c r="U73" s="1">
        <v>85</v>
      </c>
    </row>
    <row r="74" spans="1:21" ht="14.25" x14ac:dyDescent="0.2">
      <c r="A74" s="3">
        <v>45911</v>
      </c>
      <c r="B74" s="1">
        <v>86</v>
      </c>
      <c r="C74" s="1">
        <v>82</v>
      </c>
      <c r="D74" s="1">
        <v>81</v>
      </c>
      <c r="E74" s="1">
        <v>87</v>
      </c>
      <c r="F74" s="1">
        <v>84</v>
      </c>
      <c r="G74" s="1">
        <v>87</v>
      </c>
      <c r="H74" s="1">
        <v>95</v>
      </c>
      <c r="I74" s="1">
        <v>80</v>
      </c>
      <c r="J74" s="1">
        <v>84</v>
      </c>
      <c r="K74" s="1">
        <v>84</v>
      </c>
      <c r="L74" s="1">
        <v>84</v>
      </c>
      <c r="M74" s="1">
        <v>89</v>
      </c>
      <c r="N74" s="1">
        <v>83</v>
      </c>
      <c r="O74" s="1">
        <v>75</v>
      </c>
      <c r="P74" s="1">
        <v>96</v>
      </c>
      <c r="Q74" s="1">
        <v>86</v>
      </c>
      <c r="R74" s="1">
        <v>83</v>
      </c>
      <c r="S74" s="1">
        <v>89</v>
      </c>
      <c r="T74" s="1">
        <v>90</v>
      </c>
      <c r="U74" s="1">
        <v>86</v>
      </c>
    </row>
    <row r="75" spans="1:21" ht="14.25" x14ac:dyDescent="0.2">
      <c r="A75" s="3">
        <v>45912</v>
      </c>
      <c r="B75" s="1">
        <v>88</v>
      </c>
      <c r="C75" s="1">
        <v>86</v>
      </c>
      <c r="D75" s="1">
        <v>84</v>
      </c>
      <c r="E75" s="1">
        <v>87</v>
      </c>
      <c r="F75" s="1">
        <v>86</v>
      </c>
      <c r="G75" s="1">
        <v>84</v>
      </c>
      <c r="H75" s="1">
        <v>90</v>
      </c>
      <c r="I75" s="1">
        <v>81</v>
      </c>
      <c r="J75" s="1">
        <v>81</v>
      </c>
      <c r="K75" s="1">
        <v>86</v>
      </c>
      <c r="L75" s="1">
        <v>82</v>
      </c>
      <c r="M75" s="1">
        <v>86</v>
      </c>
      <c r="N75" s="1">
        <v>87</v>
      </c>
      <c r="O75" s="1">
        <v>81</v>
      </c>
      <c r="P75" s="1">
        <v>89</v>
      </c>
      <c r="Q75" s="1">
        <v>87</v>
      </c>
      <c r="R75" s="1">
        <v>81</v>
      </c>
      <c r="S75" s="1">
        <v>90</v>
      </c>
      <c r="T75" s="1">
        <v>92</v>
      </c>
      <c r="U75" s="1">
        <v>78</v>
      </c>
    </row>
    <row r="76" spans="1:21" ht="14.25" x14ac:dyDescent="0.2">
      <c r="A76" s="3">
        <v>45913</v>
      </c>
      <c r="B76" s="1">
        <v>78</v>
      </c>
      <c r="C76" s="1">
        <v>87</v>
      </c>
      <c r="D76" s="1">
        <v>89</v>
      </c>
      <c r="E76" s="1">
        <v>86</v>
      </c>
      <c r="F76" s="1">
        <v>87</v>
      </c>
      <c r="G76" s="1">
        <v>84</v>
      </c>
      <c r="H76" s="1">
        <v>75</v>
      </c>
      <c r="I76" s="1">
        <v>84</v>
      </c>
      <c r="J76" s="1">
        <v>79</v>
      </c>
      <c r="K76" s="1">
        <v>88</v>
      </c>
      <c r="L76" s="1">
        <v>70</v>
      </c>
      <c r="M76" s="1">
        <v>85</v>
      </c>
      <c r="N76" s="1">
        <v>86</v>
      </c>
      <c r="O76" s="1">
        <v>80</v>
      </c>
      <c r="P76" s="1">
        <v>86</v>
      </c>
      <c r="Q76" s="1">
        <v>89</v>
      </c>
      <c r="R76" s="1">
        <v>81</v>
      </c>
      <c r="S76" s="1">
        <v>87</v>
      </c>
      <c r="T76" s="1">
        <v>86</v>
      </c>
      <c r="U76" s="1">
        <v>75</v>
      </c>
    </row>
    <row r="77" spans="1:21" ht="14.25" x14ac:dyDescent="0.2">
      <c r="A77" s="3">
        <v>45914</v>
      </c>
      <c r="B77" s="1">
        <v>79</v>
      </c>
      <c r="C77" s="1">
        <v>87</v>
      </c>
      <c r="D77" s="1">
        <v>87</v>
      </c>
      <c r="E77" s="1">
        <v>87</v>
      </c>
      <c r="F77" s="1">
        <v>86</v>
      </c>
      <c r="G77" s="1">
        <v>86</v>
      </c>
      <c r="H77" s="1">
        <v>78</v>
      </c>
      <c r="I77" s="1">
        <v>82</v>
      </c>
      <c r="J77" s="1">
        <v>79</v>
      </c>
      <c r="K77" s="1">
        <v>88</v>
      </c>
      <c r="L77" s="1">
        <v>80</v>
      </c>
      <c r="M77" s="1">
        <v>81</v>
      </c>
      <c r="N77" s="1">
        <v>88</v>
      </c>
      <c r="O77" s="1">
        <v>82</v>
      </c>
      <c r="P77" s="1">
        <v>91</v>
      </c>
      <c r="Q77" s="1">
        <v>92</v>
      </c>
      <c r="R77" s="1">
        <v>83</v>
      </c>
      <c r="S77" s="1">
        <v>82</v>
      </c>
      <c r="T77" s="1">
        <v>78</v>
      </c>
      <c r="U77" s="1">
        <v>77</v>
      </c>
    </row>
    <row r="78" spans="1:21" ht="14.25" x14ac:dyDescent="0.2">
      <c r="A78" s="3">
        <v>45915</v>
      </c>
      <c r="B78" s="1">
        <v>86</v>
      </c>
      <c r="C78" s="1">
        <v>88</v>
      </c>
      <c r="D78" s="1">
        <v>87</v>
      </c>
      <c r="E78" s="1">
        <v>89</v>
      </c>
      <c r="F78" s="1">
        <v>80</v>
      </c>
      <c r="G78" s="1">
        <v>77</v>
      </c>
      <c r="H78" s="1">
        <v>91</v>
      </c>
      <c r="I78" s="1">
        <v>82</v>
      </c>
      <c r="J78" s="1">
        <v>73</v>
      </c>
      <c r="K78" s="1">
        <v>91</v>
      </c>
      <c r="L78" s="1">
        <v>82</v>
      </c>
      <c r="M78" s="1">
        <v>82</v>
      </c>
      <c r="N78" s="1">
        <v>79</v>
      </c>
      <c r="O78" s="1">
        <v>79</v>
      </c>
      <c r="P78" s="1">
        <v>91</v>
      </c>
      <c r="Q78" s="1">
        <v>86</v>
      </c>
      <c r="R78" s="1">
        <v>87</v>
      </c>
      <c r="S78" s="1">
        <v>84</v>
      </c>
      <c r="T78" s="1">
        <v>80</v>
      </c>
      <c r="U78" s="1">
        <v>80</v>
      </c>
    </row>
    <row r="79" spans="1:21" ht="14.25" x14ac:dyDescent="0.2">
      <c r="A79" s="3">
        <v>45916</v>
      </c>
      <c r="B79" s="1">
        <v>82</v>
      </c>
      <c r="C79" s="1">
        <v>88</v>
      </c>
      <c r="D79" s="1">
        <v>88</v>
      </c>
      <c r="E79" s="1">
        <v>81</v>
      </c>
      <c r="F79" s="1">
        <v>75</v>
      </c>
      <c r="G79" s="1">
        <v>77</v>
      </c>
      <c r="H79" s="1">
        <v>88</v>
      </c>
      <c r="I79" s="1">
        <v>81</v>
      </c>
      <c r="J79" s="1">
        <v>75</v>
      </c>
      <c r="K79" s="1">
        <v>88</v>
      </c>
      <c r="L79" s="1">
        <v>83</v>
      </c>
      <c r="M79" s="1">
        <v>76</v>
      </c>
      <c r="N79" s="1">
        <v>80</v>
      </c>
      <c r="O79" s="1">
        <v>82</v>
      </c>
      <c r="P79" s="1">
        <v>89</v>
      </c>
      <c r="Q79" s="1">
        <v>72</v>
      </c>
      <c r="R79" s="1">
        <v>86</v>
      </c>
      <c r="S79" s="1">
        <v>89</v>
      </c>
      <c r="T79" s="1">
        <v>86</v>
      </c>
      <c r="U79" s="1">
        <v>79</v>
      </c>
    </row>
    <row r="80" spans="1:21" ht="14.25" x14ac:dyDescent="0.2">
      <c r="A80" s="3">
        <v>45917</v>
      </c>
      <c r="B80" s="1">
        <v>82</v>
      </c>
      <c r="C80" s="1">
        <v>90</v>
      </c>
      <c r="D80" s="1">
        <v>87</v>
      </c>
      <c r="E80" s="1">
        <v>81</v>
      </c>
      <c r="F80" s="1">
        <v>73</v>
      </c>
      <c r="G80" s="1">
        <v>81</v>
      </c>
      <c r="H80" s="1">
        <v>86</v>
      </c>
      <c r="I80" s="1">
        <v>81</v>
      </c>
      <c r="J80" s="1">
        <v>80</v>
      </c>
      <c r="K80" s="1">
        <v>86</v>
      </c>
      <c r="L80" s="1">
        <v>85</v>
      </c>
      <c r="M80" s="1">
        <v>78</v>
      </c>
      <c r="N80" s="1">
        <v>69</v>
      </c>
      <c r="O80" s="1">
        <v>73</v>
      </c>
      <c r="P80" s="1">
        <v>95</v>
      </c>
      <c r="Q80" s="1">
        <v>79</v>
      </c>
      <c r="R80" s="1">
        <v>83</v>
      </c>
      <c r="S80" s="1">
        <v>79</v>
      </c>
      <c r="T80" s="1">
        <v>86</v>
      </c>
      <c r="U80" s="1">
        <v>83</v>
      </c>
    </row>
    <row r="81" spans="1:21" ht="14.25" x14ac:dyDescent="0.2">
      <c r="A81" s="3">
        <v>45918</v>
      </c>
      <c r="B81" s="1">
        <v>78</v>
      </c>
      <c r="C81" s="1">
        <v>88</v>
      </c>
      <c r="D81" s="1">
        <v>82</v>
      </c>
      <c r="E81" s="1">
        <v>82</v>
      </c>
      <c r="F81" s="1">
        <v>73</v>
      </c>
      <c r="G81" s="1">
        <v>81</v>
      </c>
      <c r="H81" s="1">
        <v>81</v>
      </c>
      <c r="I81" s="1">
        <v>81</v>
      </c>
      <c r="J81" s="1">
        <v>79</v>
      </c>
      <c r="K81" s="1">
        <v>88</v>
      </c>
      <c r="L81" s="1">
        <v>85</v>
      </c>
      <c r="M81" s="1">
        <v>79</v>
      </c>
      <c r="N81" s="1">
        <v>82</v>
      </c>
      <c r="O81" s="1">
        <v>80</v>
      </c>
      <c r="P81" s="1">
        <v>93</v>
      </c>
      <c r="Q81" s="1">
        <v>77</v>
      </c>
      <c r="R81" s="1">
        <v>79</v>
      </c>
      <c r="S81" s="1">
        <v>78</v>
      </c>
      <c r="T81" s="1">
        <v>85</v>
      </c>
      <c r="U81" s="1">
        <v>83</v>
      </c>
    </row>
    <row r="82" spans="1:21" ht="14.25" x14ac:dyDescent="0.2">
      <c r="A82" s="3">
        <v>45919</v>
      </c>
      <c r="B82" s="1">
        <v>79</v>
      </c>
      <c r="C82" s="1">
        <v>91</v>
      </c>
      <c r="D82" s="1">
        <v>80</v>
      </c>
      <c r="E82" s="1">
        <v>79</v>
      </c>
      <c r="F82" s="1">
        <v>84</v>
      </c>
      <c r="G82" s="1">
        <v>82</v>
      </c>
      <c r="H82" s="1">
        <v>80</v>
      </c>
      <c r="I82" s="1">
        <v>84</v>
      </c>
      <c r="J82" s="1">
        <v>78</v>
      </c>
      <c r="K82" s="1">
        <v>90</v>
      </c>
      <c r="L82" s="1">
        <v>79</v>
      </c>
      <c r="M82" s="1">
        <v>82</v>
      </c>
      <c r="N82" s="1">
        <v>81</v>
      </c>
      <c r="O82" s="1">
        <v>74</v>
      </c>
      <c r="P82" s="1">
        <v>92</v>
      </c>
      <c r="Q82" s="1">
        <v>77</v>
      </c>
      <c r="R82" s="1">
        <v>81</v>
      </c>
      <c r="S82" s="1">
        <v>84</v>
      </c>
      <c r="T82" s="1">
        <v>84</v>
      </c>
      <c r="U82" s="1">
        <v>87</v>
      </c>
    </row>
    <row r="83" spans="1:21" ht="14.25" x14ac:dyDescent="0.2">
      <c r="A83" s="3">
        <v>45920</v>
      </c>
      <c r="B83" s="1">
        <v>79</v>
      </c>
      <c r="C83" s="1">
        <v>95</v>
      </c>
      <c r="D83" s="1">
        <v>82</v>
      </c>
      <c r="E83" s="1">
        <v>68</v>
      </c>
      <c r="F83" s="1">
        <v>87</v>
      </c>
      <c r="G83" s="1">
        <v>84</v>
      </c>
      <c r="H83" s="1">
        <v>86</v>
      </c>
      <c r="I83" s="1">
        <v>87</v>
      </c>
      <c r="J83" s="1">
        <v>73</v>
      </c>
      <c r="K83" s="1">
        <v>90</v>
      </c>
      <c r="L83" s="1">
        <v>73</v>
      </c>
      <c r="M83" s="1">
        <v>81</v>
      </c>
      <c r="N83" s="1">
        <v>79</v>
      </c>
      <c r="O83" s="1">
        <v>81</v>
      </c>
      <c r="P83" s="1">
        <v>96</v>
      </c>
      <c r="Q83" s="1">
        <v>82</v>
      </c>
      <c r="R83" s="1">
        <v>79</v>
      </c>
      <c r="S83" s="1">
        <v>86</v>
      </c>
      <c r="T83" s="1">
        <v>83</v>
      </c>
      <c r="U83" s="1">
        <v>89</v>
      </c>
    </row>
    <row r="84" spans="1:21" ht="14.25" x14ac:dyDescent="0.2">
      <c r="A84" s="3">
        <v>45921</v>
      </c>
      <c r="B84" s="1">
        <v>78</v>
      </c>
      <c r="C84" s="1">
        <v>89</v>
      </c>
      <c r="D84" s="1">
        <v>82</v>
      </c>
      <c r="E84" s="1">
        <v>79</v>
      </c>
      <c r="F84" s="1">
        <v>77</v>
      </c>
      <c r="G84" s="1">
        <v>86</v>
      </c>
      <c r="H84" s="1">
        <v>84</v>
      </c>
      <c r="I84" s="1">
        <v>82</v>
      </c>
      <c r="J84" s="1">
        <v>75</v>
      </c>
      <c r="K84" s="1">
        <v>90</v>
      </c>
      <c r="L84" s="1">
        <v>75</v>
      </c>
      <c r="M84" s="1">
        <v>78</v>
      </c>
      <c r="N84" s="1">
        <v>75</v>
      </c>
      <c r="O84" s="1">
        <v>79</v>
      </c>
      <c r="P84" s="1">
        <v>95</v>
      </c>
      <c r="Q84" s="1">
        <v>86</v>
      </c>
      <c r="R84" s="1">
        <v>85</v>
      </c>
      <c r="S84" s="1">
        <v>73</v>
      </c>
      <c r="T84" s="1">
        <v>87</v>
      </c>
      <c r="U84" s="1">
        <v>77</v>
      </c>
    </row>
    <row r="85" spans="1:21" ht="14.25" x14ac:dyDescent="0.2">
      <c r="A85" s="3">
        <v>45922</v>
      </c>
      <c r="B85" s="1">
        <v>81</v>
      </c>
      <c r="C85" s="1">
        <v>70</v>
      </c>
      <c r="D85" s="1">
        <v>88</v>
      </c>
      <c r="E85" s="1">
        <v>72</v>
      </c>
      <c r="F85" s="1">
        <v>73</v>
      </c>
      <c r="G85" s="1">
        <v>87</v>
      </c>
      <c r="H85" s="1">
        <v>77</v>
      </c>
      <c r="I85" s="1">
        <v>75</v>
      </c>
      <c r="J85" s="1">
        <v>80</v>
      </c>
      <c r="K85" s="1">
        <v>86</v>
      </c>
      <c r="L85" s="1">
        <v>82</v>
      </c>
      <c r="M85" s="1">
        <v>86</v>
      </c>
      <c r="N85" s="1">
        <v>84</v>
      </c>
      <c r="O85" s="1">
        <v>84</v>
      </c>
      <c r="P85" s="1">
        <v>92</v>
      </c>
      <c r="Q85" s="1">
        <v>80</v>
      </c>
      <c r="R85" s="1">
        <v>87</v>
      </c>
      <c r="S85" s="1">
        <v>82</v>
      </c>
      <c r="T85" s="1">
        <v>82</v>
      </c>
      <c r="U85" s="1">
        <v>76</v>
      </c>
    </row>
    <row r="86" spans="1:21" ht="14.25" x14ac:dyDescent="0.2">
      <c r="A86" s="3">
        <v>45923</v>
      </c>
      <c r="B86" s="1">
        <v>84</v>
      </c>
      <c r="C86" s="1">
        <v>80</v>
      </c>
      <c r="D86" s="1">
        <v>84</v>
      </c>
      <c r="E86" s="1">
        <v>75</v>
      </c>
      <c r="F86" s="1">
        <v>81</v>
      </c>
      <c r="G86" s="1">
        <v>88</v>
      </c>
      <c r="H86" s="1">
        <v>82</v>
      </c>
      <c r="I86" s="1">
        <v>81</v>
      </c>
      <c r="J86" s="1">
        <v>84</v>
      </c>
      <c r="K86" s="1">
        <v>87</v>
      </c>
      <c r="L86" s="1">
        <v>86</v>
      </c>
      <c r="M86" s="1">
        <v>83</v>
      </c>
      <c r="N86" s="1">
        <v>82</v>
      </c>
      <c r="O86" s="1">
        <v>83</v>
      </c>
      <c r="P86" s="1">
        <v>91</v>
      </c>
      <c r="Q86" s="1">
        <v>83</v>
      </c>
      <c r="R86" s="1">
        <v>81</v>
      </c>
      <c r="S86" s="1">
        <v>82</v>
      </c>
      <c r="T86" s="1">
        <v>77</v>
      </c>
      <c r="U86" s="1">
        <v>81</v>
      </c>
    </row>
    <row r="87" spans="1:21" ht="14.25" x14ac:dyDescent="0.2">
      <c r="A87" s="3">
        <v>45924</v>
      </c>
      <c r="B87" s="1">
        <v>84</v>
      </c>
      <c r="C87" s="1">
        <v>82</v>
      </c>
      <c r="D87" s="1">
        <v>81</v>
      </c>
      <c r="E87" s="1">
        <v>78</v>
      </c>
      <c r="F87" s="1">
        <v>84</v>
      </c>
      <c r="G87" s="1">
        <v>69</v>
      </c>
      <c r="H87" s="1">
        <v>73</v>
      </c>
      <c r="I87" s="1">
        <v>80</v>
      </c>
      <c r="J87" s="1">
        <v>82</v>
      </c>
      <c r="K87" s="1">
        <v>88</v>
      </c>
      <c r="L87" s="1">
        <v>84</v>
      </c>
      <c r="M87" s="1">
        <v>89</v>
      </c>
      <c r="N87" s="1">
        <v>78</v>
      </c>
      <c r="O87" s="1">
        <v>85</v>
      </c>
      <c r="P87" s="1">
        <v>88</v>
      </c>
      <c r="Q87" s="1">
        <v>82</v>
      </c>
      <c r="R87" s="1">
        <v>78</v>
      </c>
      <c r="S87" s="1">
        <v>71</v>
      </c>
      <c r="T87" s="1">
        <v>78</v>
      </c>
      <c r="U87" s="1">
        <v>74</v>
      </c>
    </row>
    <row r="88" spans="1:21" ht="14.25" x14ac:dyDescent="0.2">
      <c r="A88" s="3">
        <v>45925</v>
      </c>
      <c r="B88" s="1">
        <v>87</v>
      </c>
      <c r="C88" s="1">
        <v>66</v>
      </c>
      <c r="D88" s="1">
        <v>82</v>
      </c>
      <c r="E88" s="1">
        <v>81</v>
      </c>
      <c r="F88" s="1">
        <v>82</v>
      </c>
      <c r="G88" s="1">
        <v>66</v>
      </c>
      <c r="H88" s="1">
        <v>69</v>
      </c>
      <c r="I88" s="1">
        <v>82</v>
      </c>
      <c r="J88" s="1">
        <v>81</v>
      </c>
      <c r="K88" s="1">
        <v>85</v>
      </c>
      <c r="L88" s="1">
        <v>75</v>
      </c>
      <c r="M88" s="1">
        <v>87</v>
      </c>
      <c r="N88" s="1">
        <v>82</v>
      </c>
      <c r="O88" s="1">
        <v>87</v>
      </c>
      <c r="P88" s="1">
        <v>93</v>
      </c>
      <c r="Q88" s="1">
        <v>88</v>
      </c>
      <c r="R88" s="1">
        <v>82</v>
      </c>
      <c r="S88" s="1">
        <v>67</v>
      </c>
      <c r="T88" s="1">
        <v>77</v>
      </c>
      <c r="U88" s="1">
        <v>67</v>
      </c>
    </row>
    <row r="89" spans="1:21" ht="14.25" x14ac:dyDescent="0.2">
      <c r="A89" s="3">
        <v>45926</v>
      </c>
      <c r="B89" s="1">
        <v>84</v>
      </c>
      <c r="C89" s="1">
        <v>70</v>
      </c>
      <c r="D89" s="1">
        <v>84</v>
      </c>
      <c r="E89" s="1">
        <v>82</v>
      </c>
      <c r="F89" s="1">
        <v>68</v>
      </c>
      <c r="G89" s="1">
        <v>72</v>
      </c>
      <c r="H89" s="1">
        <v>75</v>
      </c>
      <c r="I89" s="1">
        <v>82</v>
      </c>
      <c r="J89" s="1">
        <v>79</v>
      </c>
      <c r="K89" s="1">
        <v>77</v>
      </c>
      <c r="L89" s="1">
        <v>78</v>
      </c>
      <c r="M89" s="1">
        <v>84</v>
      </c>
      <c r="N89" s="1">
        <v>80</v>
      </c>
      <c r="O89" s="1">
        <v>85</v>
      </c>
      <c r="P89" s="1">
        <v>76</v>
      </c>
      <c r="Q89" s="1">
        <v>86</v>
      </c>
      <c r="R89" s="1">
        <v>86</v>
      </c>
      <c r="S89" s="1">
        <v>78</v>
      </c>
      <c r="T89" s="1">
        <v>74</v>
      </c>
      <c r="U89" s="1">
        <v>71</v>
      </c>
    </row>
    <row r="90" spans="1:21" ht="14.25" x14ac:dyDescent="0.2">
      <c r="A90" s="3">
        <v>45927</v>
      </c>
      <c r="B90" s="1">
        <v>79</v>
      </c>
      <c r="C90" s="1">
        <v>64</v>
      </c>
      <c r="D90" s="1">
        <v>87</v>
      </c>
      <c r="E90" s="1">
        <v>78</v>
      </c>
      <c r="F90" s="1">
        <v>71</v>
      </c>
      <c r="G90" s="1">
        <v>75</v>
      </c>
      <c r="H90" s="1">
        <v>75</v>
      </c>
      <c r="I90" s="1">
        <v>82</v>
      </c>
      <c r="J90" s="1">
        <v>72</v>
      </c>
      <c r="K90" s="1">
        <v>86</v>
      </c>
      <c r="L90" s="1">
        <v>79</v>
      </c>
      <c r="M90" s="1">
        <v>85</v>
      </c>
      <c r="N90" s="1">
        <v>77</v>
      </c>
      <c r="O90" s="1">
        <v>80</v>
      </c>
      <c r="P90" s="1">
        <v>81</v>
      </c>
      <c r="Q90" s="1">
        <v>84</v>
      </c>
      <c r="R90" s="1">
        <v>88</v>
      </c>
      <c r="S90" s="1">
        <v>79</v>
      </c>
      <c r="T90" s="1">
        <v>78</v>
      </c>
      <c r="U90" s="1">
        <v>71</v>
      </c>
    </row>
    <row r="91" spans="1:21" ht="14.25" x14ac:dyDescent="0.2">
      <c r="A91" s="3">
        <v>45928</v>
      </c>
      <c r="B91" s="1">
        <v>75</v>
      </c>
      <c r="C91" s="1">
        <v>68</v>
      </c>
      <c r="D91" s="1">
        <v>80</v>
      </c>
      <c r="E91" s="1">
        <v>80</v>
      </c>
      <c r="F91" s="1">
        <v>75</v>
      </c>
      <c r="G91" s="1">
        <v>78</v>
      </c>
      <c r="H91" s="1">
        <v>79</v>
      </c>
      <c r="I91" s="1">
        <v>73</v>
      </c>
      <c r="J91" s="1">
        <v>78</v>
      </c>
      <c r="K91" s="1">
        <v>85</v>
      </c>
      <c r="L91" s="1">
        <v>81</v>
      </c>
      <c r="M91" s="1">
        <v>85</v>
      </c>
      <c r="N91" s="1">
        <v>86</v>
      </c>
      <c r="O91" s="1">
        <v>83</v>
      </c>
      <c r="P91" s="1">
        <v>76</v>
      </c>
      <c r="Q91" s="1">
        <v>79</v>
      </c>
      <c r="R91" s="1">
        <v>86</v>
      </c>
      <c r="S91" s="1">
        <v>77</v>
      </c>
      <c r="T91" s="1">
        <v>74</v>
      </c>
      <c r="U91" s="1">
        <v>75</v>
      </c>
    </row>
    <row r="92" spans="1:21" ht="14.25" x14ac:dyDescent="0.2">
      <c r="A92" s="3">
        <v>45929</v>
      </c>
      <c r="B92" s="1">
        <v>72</v>
      </c>
      <c r="C92" s="1">
        <v>77</v>
      </c>
      <c r="D92" s="1">
        <v>75</v>
      </c>
      <c r="E92" s="1">
        <v>77</v>
      </c>
      <c r="F92" s="1">
        <v>73</v>
      </c>
      <c r="G92" s="1">
        <v>71</v>
      </c>
      <c r="H92" s="1">
        <v>73</v>
      </c>
      <c r="I92" s="1">
        <v>66</v>
      </c>
      <c r="J92" s="1">
        <v>78</v>
      </c>
      <c r="K92" s="1">
        <v>85</v>
      </c>
      <c r="L92" s="1">
        <v>70</v>
      </c>
      <c r="M92" s="1">
        <v>81</v>
      </c>
      <c r="N92" s="1">
        <v>86</v>
      </c>
      <c r="O92" s="1">
        <v>72</v>
      </c>
      <c r="P92" s="1">
        <v>79</v>
      </c>
      <c r="Q92" s="1">
        <v>84</v>
      </c>
      <c r="R92" s="1">
        <v>84</v>
      </c>
      <c r="S92" s="1">
        <v>76</v>
      </c>
      <c r="T92" s="1">
        <v>71</v>
      </c>
      <c r="U92" s="1">
        <v>77</v>
      </c>
    </row>
    <row r="93" spans="1:21" ht="14.25" x14ac:dyDescent="0.2">
      <c r="A93" s="3">
        <v>45930</v>
      </c>
      <c r="B93" s="1">
        <v>64</v>
      </c>
      <c r="C93" s="1">
        <v>86</v>
      </c>
      <c r="D93" s="1">
        <v>75</v>
      </c>
      <c r="E93" s="1">
        <v>71</v>
      </c>
      <c r="F93" s="1">
        <v>75</v>
      </c>
      <c r="G93" s="1">
        <v>71</v>
      </c>
      <c r="H93" s="1">
        <v>79</v>
      </c>
      <c r="I93" s="1">
        <v>71</v>
      </c>
      <c r="J93" s="1">
        <v>80</v>
      </c>
      <c r="K93" s="1">
        <v>82</v>
      </c>
      <c r="L93" s="1">
        <v>75</v>
      </c>
      <c r="M93" s="1">
        <v>79</v>
      </c>
      <c r="N93" s="1">
        <v>86</v>
      </c>
      <c r="O93" s="1">
        <v>74</v>
      </c>
      <c r="P93" s="1">
        <v>76</v>
      </c>
      <c r="Q93" s="1">
        <v>78</v>
      </c>
      <c r="R93" s="1">
        <v>72</v>
      </c>
      <c r="S93" s="1">
        <v>77</v>
      </c>
      <c r="T93" s="1">
        <v>84</v>
      </c>
      <c r="U93" s="1">
        <v>85</v>
      </c>
    </row>
    <row r="94" spans="1:21" ht="14.25" x14ac:dyDescent="0.2">
      <c r="A94" s="3">
        <v>45931</v>
      </c>
      <c r="B94" s="1">
        <v>66</v>
      </c>
      <c r="C94" s="1">
        <v>75</v>
      </c>
      <c r="D94" s="1">
        <v>86</v>
      </c>
      <c r="E94" s="1">
        <v>73</v>
      </c>
      <c r="F94" s="1">
        <v>77</v>
      </c>
      <c r="G94" s="1">
        <v>75</v>
      </c>
      <c r="H94" s="1">
        <v>82</v>
      </c>
      <c r="I94" s="1">
        <v>72</v>
      </c>
      <c r="J94" s="1">
        <v>82</v>
      </c>
      <c r="K94" s="1">
        <v>83</v>
      </c>
      <c r="L94" s="1">
        <v>83</v>
      </c>
      <c r="M94" s="1">
        <v>80</v>
      </c>
      <c r="N94" s="1">
        <v>74</v>
      </c>
      <c r="O94" s="1">
        <v>76</v>
      </c>
      <c r="P94" s="1">
        <v>79</v>
      </c>
      <c r="Q94" s="1">
        <v>65</v>
      </c>
      <c r="R94" s="1">
        <v>75</v>
      </c>
      <c r="S94" s="1">
        <v>82</v>
      </c>
      <c r="T94" s="1">
        <v>86</v>
      </c>
      <c r="U94" s="1">
        <v>71</v>
      </c>
    </row>
    <row r="95" spans="1:21" ht="14.25" x14ac:dyDescent="0.2">
      <c r="A95" s="3">
        <v>45932</v>
      </c>
      <c r="B95" s="1">
        <v>72</v>
      </c>
      <c r="C95" s="1">
        <v>73</v>
      </c>
      <c r="D95" s="1">
        <v>78</v>
      </c>
      <c r="E95" s="1">
        <v>75</v>
      </c>
      <c r="F95" s="1">
        <v>79</v>
      </c>
      <c r="G95" s="1">
        <v>80</v>
      </c>
      <c r="H95" s="1">
        <v>84</v>
      </c>
      <c r="I95" s="1">
        <v>68</v>
      </c>
      <c r="J95" s="1">
        <v>82</v>
      </c>
      <c r="K95" s="1">
        <v>85</v>
      </c>
      <c r="L95" s="1">
        <v>81</v>
      </c>
      <c r="M95" s="1">
        <v>82</v>
      </c>
      <c r="N95" s="1">
        <v>74</v>
      </c>
      <c r="O95" s="1">
        <v>75</v>
      </c>
      <c r="P95" s="1">
        <v>78</v>
      </c>
      <c r="Q95" s="1">
        <v>68</v>
      </c>
      <c r="R95" s="1">
        <v>72</v>
      </c>
      <c r="S95" s="1">
        <v>82</v>
      </c>
      <c r="T95" s="1">
        <v>85</v>
      </c>
      <c r="U95" s="1">
        <v>66</v>
      </c>
    </row>
    <row r="96" spans="1:21" ht="14.25" x14ac:dyDescent="0.2">
      <c r="A96" s="3">
        <v>45933</v>
      </c>
      <c r="B96" s="1">
        <v>84</v>
      </c>
      <c r="C96" s="1">
        <v>75</v>
      </c>
      <c r="D96" s="1">
        <v>77</v>
      </c>
      <c r="E96" s="1">
        <v>84</v>
      </c>
      <c r="F96" s="1">
        <v>82</v>
      </c>
      <c r="G96" s="1">
        <v>81</v>
      </c>
      <c r="H96" s="1">
        <v>84</v>
      </c>
      <c r="I96" s="1">
        <v>66</v>
      </c>
      <c r="J96" s="1">
        <v>80</v>
      </c>
      <c r="K96" s="1">
        <v>83</v>
      </c>
      <c r="L96" s="1">
        <v>82</v>
      </c>
      <c r="M96" s="1">
        <v>77</v>
      </c>
      <c r="N96" s="1">
        <v>80</v>
      </c>
      <c r="O96" s="1">
        <v>76</v>
      </c>
      <c r="P96" s="1">
        <v>68</v>
      </c>
      <c r="Q96" s="1">
        <v>75</v>
      </c>
      <c r="R96" s="1">
        <v>74</v>
      </c>
      <c r="S96" s="1">
        <v>82</v>
      </c>
      <c r="T96" s="1">
        <v>78</v>
      </c>
      <c r="U96" s="1">
        <v>66</v>
      </c>
    </row>
    <row r="97" spans="1:21" ht="14.25" x14ac:dyDescent="0.2">
      <c r="A97" s="3">
        <v>45934</v>
      </c>
      <c r="B97" s="1">
        <v>70</v>
      </c>
      <c r="C97" s="1">
        <v>78</v>
      </c>
      <c r="D97" s="1">
        <v>82</v>
      </c>
      <c r="E97" s="1">
        <v>71</v>
      </c>
      <c r="F97" s="1">
        <v>81</v>
      </c>
      <c r="G97" s="1">
        <v>80</v>
      </c>
      <c r="H97" s="1">
        <v>82</v>
      </c>
      <c r="I97" s="1">
        <v>77</v>
      </c>
      <c r="J97" s="1">
        <v>81</v>
      </c>
      <c r="K97" s="1">
        <v>85</v>
      </c>
      <c r="L97" s="1">
        <v>84</v>
      </c>
      <c r="M97" s="1">
        <v>80</v>
      </c>
      <c r="N97" s="1">
        <v>83</v>
      </c>
      <c r="O97" s="1">
        <v>74</v>
      </c>
      <c r="P97" s="1">
        <v>67</v>
      </c>
      <c r="Q97" s="1">
        <v>80</v>
      </c>
      <c r="R97" s="1">
        <v>82</v>
      </c>
      <c r="S97" s="1">
        <v>85</v>
      </c>
      <c r="T97" s="1">
        <v>65</v>
      </c>
      <c r="U97" s="1">
        <v>70</v>
      </c>
    </row>
    <row r="98" spans="1:21" ht="14.25" x14ac:dyDescent="0.2">
      <c r="A98" s="3">
        <v>45935</v>
      </c>
      <c r="B98" s="1">
        <v>66</v>
      </c>
      <c r="C98" s="1">
        <v>81</v>
      </c>
      <c r="D98" s="1">
        <v>82</v>
      </c>
      <c r="E98" s="1">
        <v>73</v>
      </c>
      <c r="F98" s="1">
        <v>82</v>
      </c>
      <c r="G98" s="1">
        <v>79</v>
      </c>
      <c r="H98" s="1">
        <v>87</v>
      </c>
      <c r="I98" s="1">
        <v>78</v>
      </c>
      <c r="J98" s="1">
        <v>80</v>
      </c>
      <c r="K98" s="1">
        <v>81</v>
      </c>
      <c r="L98" s="1">
        <v>86</v>
      </c>
      <c r="M98" s="1">
        <v>81</v>
      </c>
      <c r="N98" s="1">
        <v>83</v>
      </c>
      <c r="O98" s="1">
        <v>62</v>
      </c>
      <c r="P98" s="1">
        <v>70</v>
      </c>
      <c r="Q98" s="1">
        <v>83</v>
      </c>
      <c r="R98" s="1">
        <v>82</v>
      </c>
      <c r="S98" s="1">
        <v>84</v>
      </c>
      <c r="T98" s="1">
        <v>71</v>
      </c>
      <c r="U98" s="1">
        <v>73</v>
      </c>
    </row>
    <row r="99" spans="1:21" ht="14.25" x14ac:dyDescent="0.2">
      <c r="A99" s="3">
        <v>45936</v>
      </c>
      <c r="B99" s="1">
        <v>64</v>
      </c>
      <c r="C99" s="1">
        <v>82</v>
      </c>
      <c r="D99" s="1">
        <v>73</v>
      </c>
      <c r="E99" s="1">
        <v>71</v>
      </c>
      <c r="F99" s="1">
        <v>73</v>
      </c>
      <c r="G99" s="1">
        <v>70</v>
      </c>
      <c r="H99" s="1">
        <v>86</v>
      </c>
      <c r="I99" s="1">
        <v>75</v>
      </c>
      <c r="J99" s="1">
        <v>75</v>
      </c>
      <c r="K99" s="1">
        <v>72</v>
      </c>
      <c r="L99" s="1">
        <v>76</v>
      </c>
      <c r="M99" s="1">
        <v>82</v>
      </c>
      <c r="N99" s="1">
        <v>82</v>
      </c>
      <c r="O99" s="1">
        <v>71</v>
      </c>
      <c r="P99" s="1">
        <v>73</v>
      </c>
      <c r="Q99" s="1">
        <v>81</v>
      </c>
      <c r="R99" s="1">
        <v>83</v>
      </c>
      <c r="S99" s="1">
        <v>84</v>
      </c>
      <c r="T99" s="1">
        <v>78</v>
      </c>
      <c r="U99" s="1">
        <v>76</v>
      </c>
    </row>
    <row r="100" spans="1:21" ht="14.25" x14ac:dyDescent="0.2">
      <c r="A100" s="3">
        <v>45937</v>
      </c>
      <c r="B100" s="1">
        <v>60</v>
      </c>
      <c r="C100" s="1">
        <v>82</v>
      </c>
      <c r="D100" s="1">
        <v>82</v>
      </c>
      <c r="E100" s="1">
        <v>73</v>
      </c>
      <c r="F100" s="1">
        <v>66</v>
      </c>
      <c r="G100" s="1">
        <v>68</v>
      </c>
      <c r="H100" s="1">
        <v>80</v>
      </c>
      <c r="I100" s="1">
        <v>73</v>
      </c>
      <c r="J100" s="1">
        <v>75</v>
      </c>
      <c r="K100" s="1">
        <v>72</v>
      </c>
      <c r="L100" s="1">
        <v>72</v>
      </c>
      <c r="M100" s="1">
        <v>83</v>
      </c>
      <c r="N100" s="1">
        <v>82</v>
      </c>
      <c r="O100" s="1">
        <v>79</v>
      </c>
      <c r="P100" s="1">
        <v>81</v>
      </c>
      <c r="Q100" s="1">
        <v>79</v>
      </c>
      <c r="R100" s="1">
        <v>68</v>
      </c>
      <c r="S100" s="1">
        <v>74</v>
      </c>
      <c r="T100" s="1">
        <v>82</v>
      </c>
      <c r="U100" s="1">
        <v>81</v>
      </c>
    </row>
    <row r="101" spans="1:21" ht="14.25" x14ac:dyDescent="0.2">
      <c r="A101" s="3">
        <v>45938</v>
      </c>
      <c r="B101" s="1">
        <v>78</v>
      </c>
      <c r="C101" s="1">
        <v>82</v>
      </c>
      <c r="D101" s="1">
        <v>69</v>
      </c>
      <c r="E101" s="1">
        <v>73</v>
      </c>
      <c r="F101" s="1">
        <v>55</v>
      </c>
      <c r="G101" s="1">
        <v>79</v>
      </c>
      <c r="H101" s="1">
        <v>71</v>
      </c>
      <c r="I101" s="1">
        <v>73</v>
      </c>
      <c r="J101" s="1">
        <v>73</v>
      </c>
      <c r="K101" s="1">
        <v>73</v>
      </c>
      <c r="L101" s="1">
        <v>72</v>
      </c>
      <c r="M101" s="1">
        <v>83</v>
      </c>
      <c r="N101" s="1">
        <v>72</v>
      </c>
      <c r="O101" s="1">
        <v>80</v>
      </c>
      <c r="P101" s="1">
        <v>82</v>
      </c>
      <c r="Q101" s="1">
        <v>78</v>
      </c>
      <c r="R101" s="1">
        <v>63</v>
      </c>
      <c r="S101" s="1">
        <v>72</v>
      </c>
      <c r="T101" s="1">
        <v>86</v>
      </c>
      <c r="U101" s="1">
        <v>82</v>
      </c>
    </row>
    <row r="102" spans="1:21" ht="14.25" x14ac:dyDescent="0.2">
      <c r="A102" s="3">
        <v>45939</v>
      </c>
      <c r="B102" s="1">
        <v>70</v>
      </c>
      <c r="C102" s="1">
        <v>80</v>
      </c>
      <c r="D102" s="1">
        <v>72</v>
      </c>
      <c r="E102" s="1">
        <v>72</v>
      </c>
      <c r="F102" s="1">
        <v>55</v>
      </c>
      <c r="G102" s="1">
        <v>66</v>
      </c>
      <c r="H102" s="1">
        <v>66</v>
      </c>
      <c r="I102" s="1">
        <v>73</v>
      </c>
      <c r="J102" s="1">
        <v>71</v>
      </c>
      <c r="K102" s="1">
        <v>70</v>
      </c>
      <c r="L102" s="1">
        <v>79</v>
      </c>
      <c r="M102" s="1">
        <v>81</v>
      </c>
      <c r="N102" s="1">
        <v>75</v>
      </c>
      <c r="O102" s="1">
        <v>85</v>
      </c>
      <c r="P102" s="1">
        <v>85</v>
      </c>
      <c r="Q102" s="1">
        <v>72</v>
      </c>
      <c r="R102" s="1">
        <v>70</v>
      </c>
      <c r="S102" s="1">
        <v>76</v>
      </c>
      <c r="T102" s="1">
        <v>86</v>
      </c>
      <c r="U102" s="1">
        <v>81</v>
      </c>
    </row>
    <row r="103" spans="1:21" ht="14.25" x14ac:dyDescent="0.2">
      <c r="A103" s="3">
        <v>45940</v>
      </c>
      <c r="B103" s="1">
        <v>72</v>
      </c>
      <c r="C103" s="1">
        <v>82</v>
      </c>
      <c r="D103" s="1">
        <v>73</v>
      </c>
      <c r="E103" s="1">
        <v>72</v>
      </c>
      <c r="F103" s="1">
        <v>64</v>
      </c>
      <c r="G103" s="1">
        <v>73</v>
      </c>
      <c r="H103" s="1">
        <v>70</v>
      </c>
      <c r="I103" s="1">
        <v>73</v>
      </c>
      <c r="J103" s="1">
        <v>71</v>
      </c>
      <c r="K103" s="1">
        <v>77</v>
      </c>
      <c r="L103" s="1">
        <v>80</v>
      </c>
      <c r="M103" s="1">
        <v>81</v>
      </c>
      <c r="N103" s="1">
        <v>77</v>
      </c>
      <c r="O103" s="1">
        <v>74</v>
      </c>
      <c r="P103" s="1">
        <v>86</v>
      </c>
      <c r="Q103" s="1">
        <v>68</v>
      </c>
      <c r="R103" s="1">
        <v>73</v>
      </c>
      <c r="S103" s="1">
        <v>80</v>
      </c>
      <c r="T103" s="1">
        <v>86</v>
      </c>
      <c r="U103" s="1">
        <v>71</v>
      </c>
    </row>
    <row r="104" spans="1:21" ht="14.25" x14ac:dyDescent="0.2">
      <c r="A104" s="3">
        <v>45941</v>
      </c>
      <c r="B104" s="1">
        <v>69</v>
      </c>
      <c r="C104" s="1">
        <v>82</v>
      </c>
      <c r="D104" s="1">
        <v>78</v>
      </c>
      <c r="E104" s="1">
        <v>73</v>
      </c>
      <c r="F104" s="1">
        <v>71</v>
      </c>
      <c r="G104" s="1">
        <v>75</v>
      </c>
      <c r="H104" s="1">
        <v>78</v>
      </c>
      <c r="I104" s="1">
        <v>66</v>
      </c>
      <c r="J104" s="1">
        <v>77</v>
      </c>
      <c r="K104" s="1">
        <v>82</v>
      </c>
      <c r="L104" s="1">
        <v>80</v>
      </c>
      <c r="M104" s="1">
        <v>67</v>
      </c>
      <c r="N104" s="1">
        <v>78</v>
      </c>
      <c r="O104" s="1">
        <v>77</v>
      </c>
      <c r="P104" s="1">
        <v>86</v>
      </c>
      <c r="Q104" s="1">
        <v>65</v>
      </c>
      <c r="R104" s="1">
        <v>75</v>
      </c>
      <c r="S104" s="1">
        <v>79</v>
      </c>
      <c r="T104" s="1">
        <v>86</v>
      </c>
      <c r="U104" s="1">
        <v>73</v>
      </c>
    </row>
    <row r="105" spans="1:21" ht="14.25" x14ac:dyDescent="0.2">
      <c r="A105" s="3">
        <v>45942</v>
      </c>
      <c r="B105" s="1">
        <v>69</v>
      </c>
      <c r="C105" s="1">
        <v>79</v>
      </c>
      <c r="D105" s="1">
        <v>78</v>
      </c>
      <c r="E105" s="1">
        <v>70</v>
      </c>
      <c r="F105" s="1">
        <v>73</v>
      </c>
      <c r="G105" s="1">
        <v>78</v>
      </c>
      <c r="H105" s="1">
        <v>84</v>
      </c>
      <c r="I105" s="1">
        <v>78</v>
      </c>
      <c r="J105" s="1">
        <v>73</v>
      </c>
      <c r="K105" s="1">
        <v>74</v>
      </c>
      <c r="L105" s="1">
        <v>71</v>
      </c>
      <c r="M105" s="1">
        <v>72</v>
      </c>
      <c r="N105" s="1">
        <v>77</v>
      </c>
      <c r="O105" s="1">
        <v>66</v>
      </c>
      <c r="P105" s="1">
        <v>80</v>
      </c>
      <c r="Q105" s="1">
        <v>73</v>
      </c>
      <c r="R105" s="1">
        <v>79</v>
      </c>
      <c r="S105" s="1">
        <v>81</v>
      </c>
      <c r="T105" s="1">
        <v>85</v>
      </c>
      <c r="U105" s="1">
        <v>76</v>
      </c>
    </row>
    <row r="106" spans="1:21" ht="14.25" x14ac:dyDescent="0.2">
      <c r="A106" s="3">
        <v>45943</v>
      </c>
      <c r="B106" s="1">
        <v>73</v>
      </c>
      <c r="C106" s="1">
        <v>80</v>
      </c>
      <c r="D106" s="1">
        <v>78</v>
      </c>
      <c r="E106" s="1">
        <v>64</v>
      </c>
      <c r="F106" s="1">
        <v>75</v>
      </c>
      <c r="G106" s="1">
        <v>78</v>
      </c>
      <c r="H106" s="1">
        <v>79</v>
      </c>
      <c r="I106" s="1">
        <v>78</v>
      </c>
      <c r="J106" s="1">
        <v>64</v>
      </c>
      <c r="K106" s="1">
        <v>77</v>
      </c>
      <c r="L106" s="1">
        <v>62</v>
      </c>
      <c r="M106" s="1">
        <v>74</v>
      </c>
      <c r="N106" s="1">
        <v>77</v>
      </c>
      <c r="O106" s="1">
        <v>73</v>
      </c>
      <c r="P106" s="1">
        <v>80</v>
      </c>
      <c r="Q106" s="1">
        <v>74</v>
      </c>
      <c r="R106" s="1">
        <v>75</v>
      </c>
      <c r="S106" s="1">
        <v>82</v>
      </c>
      <c r="T106" s="1">
        <v>85</v>
      </c>
      <c r="U106" s="1">
        <v>81</v>
      </c>
    </row>
    <row r="107" spans="1:21" ht="14.25" x14ac:dyDescent="0.2">
      <c r="A107" s="3">
        <v>45944</v>
      </c>
      <c r="B107" s="1">
        <v>79</v>
      </c>
      <c r="C107" s="1">
        <v>68</v>
      </c>
      <c r="D107" s="1">
        <v>75</v>
      </c>
      <c r="E107" s="1">
        <v>75</v>
      </c>
      <c r="F107" s="1">
        <v>75</v>
      </c>
      <c r="G107" s="1">
        <v>75</v>
      </c>
      <c r="H107" s="1">
        <v>68</v>
      </c>
      <c r="I107" s="1">
        <v>78</v>
      </c>
      <c r="J107" s="1">
        <v>63</v>
      </c>
      <c r="K107" s="1">
        <v>78</v>
      </c>
      <c r="L107" s="1">
        <v>69</v>
      </c>
      <c r="M107" s="1">
        <v>78</v>
      </c>
      <c r="N107" s="1">
        <v>80</v>
      </c>
      <c r="O107" s="1">
        <v>66</v>
      </c>
      <c r="P107" s="1">
        <v>73</v>
      </c>
      <c r="Q107" s="1">
        <v>77</v>
      </c>
      <c r="R107" s="1">
        <v>77</v>
      </c>
      <c r="S107" s="1">
        <v>77</v>
      </c>
      <c r="T107" s="1">
        <v>75</v>
      </c>
      <c r="U107" s="1">
        <v>78</v>
      </c>
    </row>
    <row r="108" spans="1:21" ht="14.25" x14ac:dyDescent="0.2">
      <c r="A108" s="3">
        <v>45945</v>
      </c>
      <c r="B108" s="1">
        <v>81</v>
      </c>
      <c r="C108" s="1">
        <v>63</v>
      </c>
      <c r="D108" s="1">
        <v>79</v>
      </c>
      <c r="E108" s="1">
        <v>73</v>
      </c>
      <c r="F108" s="1">
        <v>77</v>
      </c>
      <c r="G108" s="1">
        <v>75</v>
      </c>
      <c r="H108" s="1">
        <v>57</v>
      </c>
      <c r="I108" s="1">
        <v>69</v>
      </c>
      <c r="J108" s="1">
        <v>62</v>
      </c>
      <c r="K108" s="1">
        <v>79</v>
      </c>
      <c r="L108" s="1">
        <v>70</v>
      </c>
      <c r="M108" s="1">
        <v>78</v>
      </c>
      <c r="N108" s="1">
        <v>81</v>
      </c>
      <c r="O108" s="1">
        <v>61</v>
      </c>
      <c r="P108" s="1">
        <v>78</v>
      </c>
      <c r="Q108" s="1">
        <v>80</v>
      </c>
      <c r="R108" s="1">
        <v>77</v>
      </c>
      <c r="S108" s="1">
        <v>68</v>
      </c>
      <c r="T108" s="1">
        <v>69</v>
      </c>
      <c r="U108" s="1">
        <v>81</v>
      </c>
    </row>
    <row r="109" spans="1:21" ht="14.25" x14ac:dyDescent="0.2">
      <c r="A109" s="3">
        <v>45946</v>
      </c>
      <c r="B109" s="1">
        <v>80</v>
      </c>
      <c r="C109" s="1">
        <v>57</v>
      </c>
      <c r="D109" s="1">
        <v>78</v>
      </c>
      <c r="E109" s="1">
        <v>77</v>
      </c>
      <c r="F109" s="1">
        <v>80</v>
      </c>
      <c r="G109" s="1">
        <v>62</v>
      </c>
      <c r="H109" s="1">
        <v>66</v>
      </c>
      <c r="I109" s="1">
        <v>72</v>
      </c>
      <c r="J109" s="1">
        <v>71</v>
      </c>
      <c r="K109" s="1">
        <v>76</v>
      </c>
      <c r="L109" s="1">
        <v>59</v>
      </c>
      <c r="M109" s="1">
        <v>76</v>
      </c>
      <c r="N109" s="1">
        <v>83</v>
      </c>
      <c r="O109" s="1">
        <v>61</v>
      </c>
      <c r="P109" s="1">
        <v>76</v>
      </c>
      <c r="Q109" s="1">
        <v>84</v>
      </c>
      <c r="R109" s="1">
        <v>74</v>
      </c>
      <c r="S109" s="1">
        <v>74</v>
      </c>
      <c r="T109" s="1">
        <v>70</v>
      </c>
      <c r="U109" s="1">
        <v>77</v>
      </c>
    </row>
    <row r="110" spans="1:21" ht="14.25" x14ac:dyDescent="0.2">
      <c r="A110" s="3">
        <v>45947</v>
      </c>
      <c r="B110" s="1">
        <v>82</v>
      </c>
      <c r="C110" s="1">
        <v>66</v>
      </c>
      <c r="D110" s="1">
        <v>77</v>
      </c>
      <c r="E110" s="1">
        <v>80</v>
      </c>
      <c r="F110" s="1">
        <v>80</v>
      </c>
      <c r="G110" s="1">
        <v>60</v>
      </c>
      <c r="H110" s="1">
        <v>64</v>
      </c>
      <c r="I110" s="1">
        <v>68</v>
      </c>
      <c r="J110" s="1">
        <v>75</v>
      </c>
      <c r="K110" s="1">
        <v>75</v>
      </c>
      <c r="L110" s="1">
        <v>71</v>
      </c>
      <c r="M110" s="1">
        <v>82</v>
      </c>
      <c r="N110" s="1">
        <v>69</v>
      </c>
      <c r="O110" s="1">
        <v>51</v>
      </c>
      <c r="P110" s="1">
        <v>80</v>
      </c>
      <c r="Q110" s="1">
        <v>85</v>
      </c>
      <c r="R110" s="1">
        <v>75</v>
      </c>
      <c r="S110" s="1">
        <v>72</v>
      </c>
      <c r="T110" s="1">
        <v>80</v>
      </c>
      <c r="U110" s="1">
        <v>70</v>
      </c>
    </row>
    <row r="111" spans="1:21" ht="14.25" x14ac:dyDescent="0.2">
      <c r="A111" s="3">
        <v>45948</v>
      </c>
      <c r="B111" s="1">
        <v>66</v>
      </c>
      <c r="C111" s="1">
        <v>64</v>
      </c>
      <c r="D111" s="1">
        <v>78</v>
      </c>
      <c r="E111" s="1">
        <v>71</v>
      </c>
      <c r="F111" s="1">
        <v>80</v>
      </c>
      <c r="G111" s="1">
        <v>64</v>
      </c>
      <c r="H111" s="1">
        <v>68</v>
      </c>
      <c r="I111" s="1">
        <v>70</v>
      </c>
      <c r="J111" s="1">
        <v>73</v>
      </c>
      <c r="K111" s="1">
        <v>81</v>
      </c>
      <c r="L111" s="1">
        <v>77</v>
      </c>
      <c r="M111" s="1">
        <v>77</v>
      </c>
      <c r="N111" s="1">
        <v>67</v>
      </c>
      <c r="O111" s="1">
        <v>55</v>
      </c>
      <c r="P111" s="1">
        <v>78</v>
      </c>
      <c r="Q111" s="1">
        <v>80</v>
      </c>
      <c r="R111" s="1">
        <v>74</v>
      </c>
      <c r="S111" s="1">
        <v>73</v>
      </c>
      <c r="T111" s="1">
        <v>76</v>
      </c>
      <c r="U111" s="1">
        <v>66</v>
      </c>
    </row>
    <row r="112" spans="1:21" ht="14.25" x14ac:dyDescent="0.2">
      <c r="A112" s="3">
        <v>45949</v>
      </c>
      <c r="B112" s="1">
        <v>63</v>
      </c>
      <c r="C112" s="1">
        <v>69</v>
      </c>
      <c r="D112" s="1">
        <v>82</v>
      </c>
      <c r="E112" s="1">
        <v>66</v>
      </c>
      <c r="F112" s="1">
        <v>73</v>
      </c>
      <c r="G112" s="1">
        <v>71</v>
      </c>
      <c r="H112" s="1">
        <v>71</v>
      </c>
      <c r="I112" s="1">
        <v>75</v>
      </c>
      <c r="J112" s="1">
        <v>68</v>
      </c>
      <c r="K112" s="1">
        <v>83</v>
      </c>
      <c r="L112" s="1">
        <v>76</v>
      </c>
      <c r="M112" s="1">
        <v>76</v>
      </c>
      <c r="N112" s="1">
        <v>65</v>
      </c>
      <c r="O112" s="1">
        <v>61</v>
      </c>
      <c r="P112" s="1">
        <v>82</v>
      </c>
      <c r="Q112" s="1">
        <v>67</v>
      </c>
      <c r="R112" s="1">
        <v>73</v>
      </c>
      <c r="S112" s="1">
        <v>63</v>
      </c>
      <c r="T112" s="1">
        <v>73</v>
      </c>
      <c r="U112" s="1">
        <v>64</v>
      </c>
    </row>
    <row r="113" spans="1:21" ht="14.25" x14ac:dyDescent="0.2">
      <c r="A113" s="3">
        <v>45950</v>
      </c>
      <c r="B113" s="1">
        <v>68</v>
      </c>
      <c r="C113" s="1">
        <v>70</v>
      </c>
      <c r="D113" s="1">
        <v>75</v>
      </c>
      <c r="E113" s="1">
        <v>60</v>
      </c>
      <c r="F113" s="1">
        <v>73</v>
      </c>
      <c r="G113" s="1">
        <v>75</v>
      </c>
      <c r="H113" s="1">
        <v>73</v>
      </c>
      <c r="I113" s="1">
        <v>78</v>
      </c>
      <c r="J113" s="1">
        <v>71</v>
      </c>
      <c r="K113" s="1">
        <v>83</v>
      </c>
      <c r="L113" s="1">
        <v>69</v>
      </c>
      <c r="M113" s="1">
        <v>75</v>
      </c>
      <c r="N113" s="1">
        <v>66</v>
      </c>
      <c r="O113" s="1">
        <v>68</v>
      </c>
      <c r="P113" s="1">
        <v>77</v>
      </c>
      <c r="Q113" s="1">
        <v>59</v>
      </c>
      <c r="R113" s="1">
        <v>71</v>
      </c>
      <c r="S113" s="1">
        <v>70</v>
      </c>
      <c r="T113" s="1">
        <v>73</v>
      </c>
      <c r="U113" s="1">
        <v>71</v>
      </c>
    </row>
    <row r="114" spans="1:21" ht="14.25" x14ac:dyDescent="0.2">
      <c r="A114" s="3">
        <v>45951</v>
      </c>
      <c r="B114" s="1">
        <v>79</v>
      </c>
      <c r="C114" s="1">
        <v>70</v>
      </c>
      <c r="D114" s="1">
        <v>73</v>
      </c>
      <c r="E114" s="1">
        <v>64</v>
      </c>
      <c r="F114" s="1">
        <v>75</v>
      </c>
      <c r="G114" s="1">
        <v>79</v>
      </c>
      <c r="H114" s="1">
        <v>71</v>
      </c>
      <c r="I114" s="1">
        <v>84</v>
      </c>
      <c r="J114" s="1">
        <v>73</v>
      </c>
      <c r="K114" s="1">
        <v>80</v>
      </c>
      <c r="L114" s="1">
        <v>69</v>
      </c>
      <c r="M114" s="1">
        <v>78</v>
      </c>
      <c r="N114" s="1">
        <v>72</v>
      </c>
      <c r="O114" s="1">
        <v>71</v>
      </c>
      <c r="P114" s="1">
        <v>80</v>
      </c>
      <c r="Q114" s="1">
        <v>63</v>
      </c>
      <c r="R114" s="1">
        <v>76</v>
      </c>
      <c r="S114" s="1">
        <v>72</v>
      </c>
      <c r="T114" s="1">
        <v>77</v>
      </c>
      <c r="U114" s="1">
        <v>76</v>
      </c>
    </row>
    <row r="115" spans="1:21" ht="14.25" x14ac:dyDescent="0.2">
      <c r="A115" s="3">
        <v>45952</v>
      </c>
      <c r="B115" s="1">
        <v>81</v>
      </c>
      <c r="C115" s="1">
        <v>62</v>
      </c>
      <c r="D115" s="1">
        <v>63</v>
      </c>
      <c r="E115" s="1">
        <v>73</v>
      </c>
      <c r="F115" s="1">
        <v>79</v>
      </c>
      <c r="G115" s="1">
        <v>80</v>
      </c>
      <c r="H115" s="1">
        <v>64</v>
      </c>
      <c r="I115" s="1">
        <v>78</v>
      </c>
      <c r="J115" s="1">
        <v>73</v>
      </c>
      <c r="K115" s="1">
        <v>67</v>
      </c>
      <c r="L115" s="1">
        <v>70</v>
      </c>
      <c r="M115" s="1">
        <v>72</v>
      </c>
      <c r="N115" s="1">
        <v>68</v>
      </c>
      <c r="O115" s="1">
        <v>74</v>
      </c>
      <c r="P115" s="1">
        <v>78</v>
      </c>
      <c r="Q115" s="1">
        <v>68</v>
      </c>
      <c r="R115" s="1">
        <v>79</v>
      </c>
      <c r="S115" s="1">
        <v>69</v>
      </c>
      <c r="T115" s="1">
        <v>70</v>
      </c>
      <c r="U115" s="1">
        <v>79</v>
      </c>
    </row>
    <row r="116" spans="1:21" ht="14.25" x14ac:dyDescent="0.2">
      <c r="A116" s="3">
        <v>45953</v>
      </c>
      <c r="B116" s="1">
        <v>69</v>
      </c>
      <c r="C116" s="1">
        <v>63</v>
      </c>
      <c r="D116" s="1">
        <v>63</v>
      </c>
      <c r="E116" s="1">
        <v>57</v>
      </c>
      <c r="F116" s="1">
        <v>75</v>
      </c>
      <c r="G116" s="1">
        <v>81</v>
      </c>
      <c r="H116" s="1">
        <v>59</v>
      </c>
      <c r="I116" s="1">
        <v>78</v>
      </c>
      <c r="J116" s="1">
        <v>70</v>
      </c>
      <c r="K116" s="1">
        <v>70</v>
      </c>
      <c r="L116" s="1">
        <v>53</v>
      </c>
      <c r="M116" s="1">
        <v>81</v>
      </c>
      <c r="N116" s="1">
        <v>62</v>
      </c>
      <c r="O116" s="1">
        <v>72</v>
      </c>
      <c r="P116" s="1">
        <v>76</v>
      </c>
      <c r="Q116" s="1">
        <v>70</v>
      </c>
      <c r="R116" s="1">
        <v>78</v>
      </c>
      <c r="S116" s="1">
        <v>63</v>
      </c>
      <c r="T116" s="1">
        <v>72</v>
      </c>
      <c r="U116" s="1">
        <v>81</v>
      </c>
    </row>
    <row r="117" spans="1:21" ht="14.25" x14ac:dyDescent="0.2">
      <c r="A117" s="3">
        <v>45954</v>
      </c>
      <c r="B117" s="1">
        <v>73</v>
      </c>
      <c r="C117" s="1">
        <v>62</v>
      </c>
      <c r="D117" s="1">
        <v>72</v>
      </c>
      <c r="E117" s="1">
        <v>59</v>
      </c>
      <c r="F117" s="1">
        <v>75</v>
      </c>
      <c r="G117" s="1">
        <v>79</v>
      </c>
      <c r="H117" s="1">
        <v>68</v>
      </c>
      <c r="I117" s="1">
        <v>73</v>
      </c>
      <c r="J117" s="1">
        <v>73</v>
      </c>
      <c r="K117" s="1">
        <v>56</v>
      </c>
      <c r="L117" s="1">
        <v>56</v>
      </c>
      <c r="M117" s="1">
        <v>59</v>
      </c>
      <c r="N117" s="1">
        <v>54</v>
      </c>
      <c r="O117" s="1">
        <v>69</v>
      </c>
      <c r="P117" s="1">
        <v>81</v>
      </c>
      <c r="Q117" s="1">
        <v>73</v>
      </c>
      <c r="R117" s="1">
        <v>79</v>
      </c>
      <c r="S117" s="1">
        <v>66</v>
      </c>
      <c r="T117" s="1">
        <v>74</v>
      </c>
      <c r="U117" s="1">
        <v>76</v>
      </c>
    </row>
    <row r="118" spans="1:21" ht="14.25" x14ac:dyDescent="0.2">
      <c r="A118" s="3">
        <v>45955</v>
      </c>
      <c r="B118" s="1">
        <v>73</v>
      </c>
      <c r="C118" s="1">
        <v>75</v>
      </c>
      <c r="D118" s="1">
        <v>75</v>
      </c>
      <c r="E118" s="1">
        <v>64</v>
      </c>
      <c r="F118" s="1">
        <v>78</v>
      </c>
      <c r="G118" s="1">
        <v>73</v>
      </c>
      <c r="H118" s="1">
        <v>60</v>
      </c>
      <c r="I118" s="1">
        <v>73</v>
      </c>
      <c r="J118" s="1">
        <v>78</v>
      </c>
      <c r="K118" s="1">
        <v>54</v>
      </c>
      <c r="L118" s="1">
        <v>55</v>
      </c>
      <c r="M118" s="1">
        <v>61</v>
      </c>
      <c r="N118" s="1">
        <v>67</v>
      </c>
      <c r="O118" s="1">
        <v>65</v>
      </c>
      <c r="P118" s="1">
        <v>76</v>
      </c>
      <c r="Q118" s="1">
        <v>76</v>
      </c>
      <c r="R118" s="1">
        <v>80</v>
      </c>
      <c r="S118" s="1">
        <v>56</v>
      </c>
      <c r="T118" s="1">
        <v>77</v>
      </c>
      <c r="U118" s="1">
        <v>71</v>
      </c>
    </row>
    <row r="119" spans="1:21" ht="14.25" x14ac:dyDescent="0.2">
      <c r="A119" s="3">
        <v>45956</v>
      </c>
      <c r="B119" s="1">
        <v>75</v>
      </c>
      <c r="C119" s="1">
        <v>71</v>
      </c>
      <c r="D119" s="1">
        <v>79</v>
      </c>
      <c r="E119" s="1">
        <v>69</v>
      </c>
      <c r="F119" s="1">
        <v>75</v>
      </c>
      <c r="G119" s="1">
        <v>64</v>
      </c>
      <c r="H119" s="1">
        <v>68</v>
      </c>
      <c r="I119" s="1">
        <v>68</v>
      </c>
      <c r="J119" s="1">
        <v>79</v>
      </c>
      <c r="K119" s="1">
        <v>61</v>
      </c>
      <c r="L119" s="1">
        <v>62</v>
      </c>
      <c r="M119" s="1">
        <v>68</v>
      </c>
      <c r="N119" s="1">
        <v>70</v>
      </c>
      <c r="O119" s="1">
        <v>65</v>
      </c>
      <c r="P119" s="1">
        <v>85</v>
      </c>
      <c r="Q119" s="1">
        <v>77</v>
      </c>
      <c r="R119" s="1">
        <v>80</v>
      </c>
      <c r="S119" s="1">
        <v>61</v>
      </c>
      <c r="T119" s="1">
        <v>84</v>
      </c>
      <c r="U119" s="1">
        <v>67</v>
      </c>
    </row>
    <row r="120" spans="1:21" ht="14.25" x14ac:dyDescent="0.2">
      <c r="A120" s="3">
        <v>45957</v>
      </c>
      <c r="B120" s="1">
        <v>75</v>
      </c>
      <c r="C120" s="1">
        <v>57</v>
      </c>
      <c r="D120" s="1">
        <v>79</v>
      </c>
      <c r="E120" s="1">
        <v>75</v>
      </c>
      <c r="F120" s="1">
        <v>78</v>
      </c>
      <c r="G120" s="1">
        <v>51</v>
      </c>
      <c r="H120" s="1">
        <v>69</v>
      </c>
      <c r="I120" s="1">
        <v>64</v>
      </c>
      <c r="J120" s="1">
        <v>81</v>
      </c>
      <c r="K120" s="1">
        <v>63</v>
      </c>
      <c r="L120" s="1">
        <v>66</v>
      </c>
      <c r="M120" s="1">
        <v>67</v>
      </c>
      <c r="N120" s="1">
        <v>59</v>
      </c>
      <c r="O120" s="1">
        <v>60</v>
      </c>
      <c r="P120" s="1">
        <v>76</v>
      </c>
      <c r="Q120" s="1">
        <v>79</v>
      </c>
      <c r="R120" s="1">
        <v>70</v>
      </c>
      <c r="S120" s="1">
        <v>69</v>
      </c>
      <c r="T120" s="1">
        <v>84</v>
      </c>
      <c r="U120" s="1">
        <v>56</v>
      </c>
    </row>
    <row r="121" spans="1:21" ht="14.25" x14ac:dyDescent="0.2">
      <c r="A121" s="3">
        <v>45958</v>
      </c>
      <c r="B121" s="1">
        <v>81</v>
      </c>
      <c r="C121" s="1">
        <v>55</v>
      </c>
      <c r="D121" s="1">
        <v>79</v>
      </c>
      <c r="E121" s="1">
        <v>73</v>
      </c>
      <c r="F121" s="1">
        <v>80</v>
      </c>
      <c r="G121" s="1">
        <v>55</v>
      </c>
      <c r="H121" s="1">
        <v>75</v>
      </c>
      <c r="I121" s="1">
        <v>57</v>
      </c>
      <c r="J121" s="1">
        <v>78</v>
      </c>
      <c r="K121" s="1">
        <v>62</v>
      </c>
      <c r="L121" s="1">
        <v>63</v>
      </c>
      <c r="M121" s="1">
        <v>70</v>
      </c>
      <c r="N121" s="1">
        <v>50</v>
      </c>
      <c r="O121" s="1">
        <v>71</v>
      </c>
      <c r="P121" s="1">
        <v>74</v>
      </c>
      <c r="Q121" s="1">
        <v>74</v>
      </c>
      <c r="R121" s="1">
        <v>56</v>
      </c>
      <c r="S121" s="1">
        <v>64</v>
      </c>
      <c r="T121" s="1">
        <v>77</v>
      </c>
      <c r="U121" s="1">
        <v>78</v>
      </c>
    </row>
    <row r="122" spans="1:21" ht="14.25" x14ac:dyDescent="0.2">
      <c r="A122" s="3">
        <v>45959</v>
      </c>
      <c r="B122" s="1">
        <v>82</v>
      </c>
      <c r="C122" s="1">
        <v>64</v>
      </c>
      <c r="D122" s="1">
        <v>78</v>
      </c>
      <c r="E122" s="1">
        <v>72</v>
      </c>
      <c r="F122" s="1">
        <v>75</v>
      </c>
      <c r="G122" s="1">
        <v>63</v>
      </c>
      <c r="H122" s="1">
        <v>75</v>
      </c>
      <c r="I122" s="1">
        <v>70</v>
      </c>
      <c r="J122" s="1">
        <v>75</v>
      </c>
      <c r="K122" s="1">
        <v>64</v>
      </c>
      <c r="L122" s="1">
        <v>72</v>
      </c>
      <c r="M122" s="1">
        <v>62</v>
      </c>
      <c r="N122" s="1">
        <v>59</v>
      </c>
      <c r="O122" s="1">
        <v>75</v>
      </c>
      <c r="P122" s="1">
        <v>68</v>
      </c>
      <c r="Q122" s="1">
        <v>59</v>
      </c>
      <c r="R122" s="1">
        <v>56</v>
      </c>
      <c r="S122" s="1">
        <v>75</v>
      </c>
      <c r="T122" s="1">
        <v>73</v>
      </c>
      <c r="U122" s="1">
        <v>70</v>
      </c>
    </row>
    <row r="123" spans="1:21" ht="14.25" x14ac:dyDescent="0.2">
      <c r="A123" s="3">
        <v>45960</v>
      </c>
      <c r="B123" s="1">
        <v>82</v>
      </c>
      <c r="C123" s="1">
        <v>66</v>
      </c>
      <c r="D123" s="1">
        <v>82</v>
      </c>
      <c r="E123" s="1">
        <v>75</v>
      </c>
      <c r="F123" s="1">
        <v>77</v>
      </c>
      <c r="G123" s="1">
        <v>72</v>
      </c>
      <c r="H123" s="1">
        <v>68</v>
      </c>
      <c r="I123" s="1">
        <v>77</v>
      </c>
      <c r="J123" s="1">
        <v>78</v>
      </c>
      <c r="K123" s="1">
        <v>69</v>
      </c>
      <c r="L123" s="1">
        <v>73</v>
      </c>
      <c r="M123" s="1">
        <v>67</v>
      </c>
      <c r="N123" s="1">
        <v>65</v>
      </c>
      <c r="O123" s="1">
        <v>66</v>
      </c>
      <c r="P123" s="1">
        <v>71</v>
      </c>
      <c r="Q123" s="1">
        <v>61</v>
      </c>
      <c r="R123" s="1">
        <v>56</v>
      </c>
      <c r="S123" s="1">
        <v>78</v>
      </c>
      <c r="T123" s="1">
        <v>68</v>
      </c>
      <c r="U123" s="1">
        <v>70</v>
      </c>
    </row>
    <row r="124" spans="1:21" ht="14.25" x14ac:dyDescent="0.2">
      <c r="A124" s="3">
        <v>45961</v>
      </c>
      <c r="B124" s="1">
        <v>81</v>
      </c>
      <c r="C124" s="1">
        <v>60</v>
      </c>
      <c r="D124" s="1">
        <v>79</v>
      </c>
      <c r="E124" s="1">
        <v>75</v>
      </c>
      <c r="F124" s="1">
        <v>78</v>
      </c>
      <c r="G124" s="1">
        <v>71</v>
      </c>
      <c r="H124" s="1">
        <v>60</v>
      </c>
      <c r="I124" s="1">
        <v>75</v>
      </c>
      <c r="J124" s="1">
        <v>82</v>
      </c>
      <c r="K124" s="1">
        <v>70</v>
      </c>
      <c r="L124" s="1">
        <v>68</v>
      </c>
      <c r="M124" s="1">
        <v>71</v>
      </c>
      <c r="N124" s="1">
        <v>67</v>
      </c>
      <c r="O124" s="1">
        <v>69</v>
      </c>
      <c r="P124" s="1">
        <v>75</v>
      </c>
      <c r="Q124" s="1">
        <v>65</v>
      </c>
      <c r="R124" s="1">
        <v>65</v>
      </c>
      <c r="S124" s="1">
        <v>74</v>
      </c>
      <c r="T124" s="1">
        <v>63</v>
      </c>
      <c r="U124" s="1">
        <v>62</v>
      </c>
    </row>
    <row r="126" spans="1:21" ht="30" x14ac:dyDescent="0.25">
      <c r="A126" s="22" t="s">
        <v>88</v>
      </c>
      <c r="B126" s="2">
        <f>AVERAGE(B2:B63)</f>
        <v>89.612903225806448</v>
      </c>
      <c r="C126" s="2">
        <f>AVERAGE(C2:C63)</f>
        <v>86.532258064516128</v>
      </c>
      <c r="D126" s="2">
        <f t="shared" ref="D126:U126" si="0">AVERAGE(D2:D63)</f>
        <v>88.241935483870961</v>
      </c>
      <c r="E126" s="2">
        <f t="shared" si="0"/>
        <v>89.629032258064512</v>
      </c>
      <c r="F126" s="2">
        <f t="shared" si="0"/>
        <v>91.403225806451616</v>
      </c>
      <c r="G126" s="2">
        <f t="shared" si="0"/>
        <v>86.741935483870961</v>
      </c>
      <c r="H126" s="2">
        <f t="shared" si="0"/>
        <v>89.209677419354833</v>
      </c>
      <c r="I126" s="2">
        <f t="shared" si="0"/>
        <v>86.225806451612897</v>
      </c>
      <c r="J126" s="2">
        <f t="shared" si="0"/>
        <v>86.5</v>
      </c>
      <c r="K126" s="2">
        <f t="shared" si="0"/>
        <v>86.983870967741936</v>
      </c>
      <c r="L126" s="2">
        <f t="shared" si="0"/>
        <v>89.967741935483872</v>
      </c>
      <c r="M126" s="2">
        <f t="shared" si="0"/>
        <v>91.209677419354833</v>
      </c>
      <c r="N126" s="2">
        <f t="shared" si="0"/>
        <v>87.709677419354833</v>
      </c>
      <c r="O126" s="2">
        <f t="shared" si="0"/>
        <v>87.112903225806448</v>
      </c>
      <c r="P126" s="2">
        <f t="shared" si="0"/>
        <v>91.306451612903231</v>
      </c>
      <c r="Q126" s="2">
        <f t="shared" si="0"/>
        <v>92.709677419354833</v>
      </c>
      <c r="R126" s="2">
        <f t="shared" si="0"/>
        <v>90.870967741935488</v>
      </c>
      <c r="S126" s="2">
        <f t="shared" si="0"/>
        <v>84.838709677419359</v>
      </c>
      <c r="T126" s="2">
        <f t="shared" si="0"/>
        <v>87.435483870967744</v>
      </c>
      <c r="U126" s="2">
        <f t="shared" si="0"/>
        <v>89.41935483870968</v>
      </c>
    </row>
    <row r="127" spans="1:21" ht="30" x14ac:dyDescent="0.25">
      <c r="A127" s="22" t="s">
        <v>87</v>
      </c>
      <c r="B127" s="2">
        <f>AVERAGE(B126:K126)</f>
        <v>88.108064516129033</v>
      </c>
    </row>
    <row r="128" spans="1:21" ht="15" x14ac:dyDescent="0.25">
      <c r="A128" s="22" t="s">
        <v>89</v>
      </c>
      <c r="B128" s="2">
        <f>_xlfn.STDEV.S(B126:K126)</f>
        <v>1.7766852818717642</v>
      </c>
    </row>
    <row r="129" spans="1:5" ht="15" x14ac:dyDescent="0.25">
      <c r="A129" s="22" t="s">
        <v>90</v>
      </c>
      <c r="B129" s="2">
        <f>B128/2</f>
        <v>0.88834264093588211</v>
      </c>
    </row>
    <row r="130" spans="1:5" ht="15" x14ac:dyDescent="0.25">
      <c r="A130" s="22" t="s">
        <v>91</v>
      </c>
      <c r="B130" s="2">
        <f>B128*5</f>
        <v>8.8834264093588207</v>
      </c>
    </row>
    <row r="131" spans="1:5" ht="15" x14ac:dyDescent="0.25">
      <c r="A131" s="14"/>
      <c r="B131" s="2"/>
    </row>
    <row r="132" spans="1:5" ht="30" x14ac:dyDescent="0.15">
      <c r="A132" s="19" t="s">
        <v>78</v>
      </c>
      <c r="B132" s="20" t="s">
        <v>93</v>
      </c>
      <c r="C132" s="21" t="s">
        <v>94</v>
      </c>
      <c r="D132" s="24" t="s">
        <v>95</v>
      </c>
      <c r="E132" s="21" t="s">
        <v>96</v>
      </c>
    </row>
    <row r="133" spans="1:5" ht="15" x14ac:dyDescent="0.25">
      <c r="A133" s="23" t="str" cm="1">
        <f t="array" ref="A133:A152">TRANSPOSE(Table1[[#Headers],[1996]:[2015]])</f>
        <v>1996</v>
      </c>
      <c r="B133" s="16" cm="1">
        <f t="array" ref="B133:B152">TRANSPOSE(B126:U126)</f>
        <v>89.612903225806448</v>
      </c>
      <c r="C133" s="17">
        <f>B133-$B$127</f>
        <v>1.504838709677415</v>
      </c>
      <c r="D133" s="15">
        <v>0</v>
      </c>
      <c r="E133" s="15" t="b">
        <f>D133&gt;=$B$130</f>
        <v>0</v>
      </c>
    </row>
    <row r="134" spans="1:5" ht="15" x14ac:dyDescent="0.25">
      <c r="A134" s="23" t="str">
        <v>1997</v>
      </c>
      <c r="B134" s="16">
        <v>86.532258064516128</v>
      </c>
      <c r="C134" s="17">
        <f t="shared" ref="C134:C152" si="1">B134-$B$127</f>
        <v>-1.5758064516129053</v>
      </c>
      <c r="D134" s="18">
        <f>MAX(0,D133+(C133-$B$129))</f>
        <v>0.61649606874153284</v>
      </c>
      <c r="E134" s="15" t="b">
        <f t="shared" ref="E134:E152" si="2">D134&gt;=$B$130</f>
        <v>0</v>
      </c>
    </row>
    <row r="135" spans="1:5" ht="15" x14ac:dyDescent="0.25">
      <c r="A135" s="23" t="str">
        <v>1998</v>
      </c>
      <c r="B135" s="16">
        <v>88.241935483870961</v>
      </c>
      <c r="C135" s="17">
        <f t="shared" si="1"/>
        <v>0.13387096774192742</v>
      </c>
      <c r="D135" s="18">
        <f t="shared" ref="D135:D152" si="3">MAX(0,D134+(C134-$B$129))</f>
        <v>0</v>
      </c>
      <c r="E135" s="15" t="b">
        <f t="shared" si="2"/>
        <v>0</v>
      </c>
    </row>
    <row r="136" spans="1:5" ht="15" x14ac:dyDescent="0.25">
      <c r="A136" s="23" t="str">
        <v>1999</v>
      </c>
      <c r="B136" s="16">
        <v>89.629032258064512</v>
      </c>
      <c r="C136" s="17">
        <f t="shared" si="1"/>
        <v>1.520967741935479</v>
      </c>
      <c r="D136" s="18">
        <f t="shared" si="3"/>
        <v>0</v>
      </c>
      <c r="E136" s="15" t="b">
        <f t="shared" si="2"/>
        <v>0</v>
      </c>
    </row>
    <row r="137" spans="1:5" ht="15" x14ac:dyDescent="0.25">
      <c r="A137" s="23" t="str">
        <v>2000</v>
      </c>
      <c r="B137" s="16">
        <v>91.403225806451616</v>
      </c>
      <c r="C137" s="17">
        <f t="shared" si="1"/>
        <v>3.2951612903225822</v>
      </c>
      <c r="D137" s="18">
        <f t="shared" si="3"/>
        <v>0.6326251009995969</v>
      </c>
      <c r="E137" s="15" t="b">
        <f t="shared" si="2"/>
        <v>0</v>
      </c>
    </row>
    <row r="138" spans="1:5" ht="15" x14ac:dyDescent="0.25">
      <c r="A138" s="23" t="str">
        <v>2001</v>
      </c>
      <c r="B138" s="16">
        <v>86.741935483870961</v>
      </c>
      <c r="C138" s="17">
        <f t="shared" si="1"/>
        <v>-1.3661290322580726</v>
      </c>
      <c r="D138" s="18">
        <f t="shared" si="3"/>
        <v>3.0394437503862974</v>
      </c>
      <c r="E138" s="15" t="b">
        <f t="shared" si="2"/>
        <v>0</v>
      </c>
    </row>
    <row r="139" spans="1:5" ht="15" x14ac:dyDescent="0.25">
      <c r="A139" s="23" t="str">
        <v>2002</v>
      </c>
      <c r="B139" s="16">
        <v>89.209677419354833</v>
      </c>
      <c r="C139" s="17">
        <f t="shared" si="1"/>
        <v>1.1016129032257993</v>
      </c>
      <c r="D139" s="18">
        <f t="shared" si="3"/>
        <v>0.78497207719234297</v>
      </c>
      <c r="E139" s="15" t="b">
        <f t="shared" si="2"/>
        <v>0</v>
      </c>
    </row>
    <row r="140" spans="1:5" ht="15" x14ac:dyDescent="0.25">
      <c r="A140" s="23" t="str">
        <v>2003</v>
      </c>
      <c r="B140" s="16">
        <v>86.225806451612897</v>
      </c>
      <c r="C140" s="17">
        <f t="shared" si="1"/>
        <v>-1.8822580645161366</v>
      </c>
      <c r="D140" s="18">
        <f t="shared" si="3"/>
        <v>0.99824233948226015</v>
      </c>
      <c r="E140" s="15" t="b">
        <f t="shared" si="2"/>
        <v>0</v>
      </c>
    </row>
    <row r="141" spans="1:5" ht="15" x14ac:dyDescent="0.25">
      <c r="A141" s="23" t="str">
        <v>2004</v>
      </c>
      <c r="B141" s="16">
        <v>86.5</v>
      </c>
      <c r="C141" s="17">
        <f t="shared" si="1"/>
        <v>-1.6080645161290334</v>
      </c>
      <c r="D141" s="18">
        <f t="shared" si="3"/>
        <v>0</v>
      </c>
      <c r="E141" s="15" t="b">
        <f t="shared" si="2"/>
        <v>0</v>
      </c>
    </row>
    <row r="142" spans="1:5" ht="15" x14ac:dyDescent="0.25">
      <c r="A142" s="23" t="str">
        <v>2005</v>
      </c>
      <c r="B142" s="16">
        <v>86.983870967741936</v>
      </c>
      <c r="C142" s="17">
        <f t="shared" si="1"/>
        <v>-1.1241935483870975</v>
      </c>
      <c r="D142" s="18">
        <f t="shared" si="3"/>
        <v>0</v>
      </c>
      <c r="E142" s="15" t="b">
        <f t="shared" si="2"/>
        <v>0</v>
      </c>
    </row>
    <row r="143" spans="1:5" ht="15" x14ac:dyDescent="0.25">
      <c r="A143" s="23" t="str">
        <v>2006</v>
      </c>
      <c r="B143" s="16">
        <v>89.967741935483872</v>
      </c>
      <c r="C143" s="17">
        <f t="shared" si="1"/>
        <v>1.8596774193548384</v>
      </c>
      <c r="D143" s="18">
        <f t="shared" si="3"/>
        <v>0</v>
      </c>
      <c r="E143" s="15" t="b">
        <f t="shared" si="2"/>
        <v>0</v>
      </c>
    </row>
    <row r="144" spans="1:5" ht="15" x14ac:dyDescent="0.25">
      <c r="A144" s="23" t="str">
        <v>2007</v>
      </c>
      <c r="B144" s="16">
        <v>91.209677419354833</v>
      </c>
      <c r="C144" s="17">
        <f t="shared" si="1"/>
        <v>3.1016129032257993</v>
      </c>
      <c r="D144" s="18">
        <f t="shared" si="3"/>
        <v>0.97133477841895632</v>
      </c>
      <c r="E144" s="15" t="b">
        <f t="shared" si="2"/>
        <v>0</v>
      </c>
    </row>
    <row r="145" spans="1:5" ht="15" x14ac:dyDescent="0.25">
      <c r="A145" s="23" t="str">
        <v>2008</v>
      </c>
      <c r="B145" s="16">
        <v>87.709677419354833</v>
      </c>
      <c r="C145" s="17">
        <f t="shared" si="1"/>
        <v>-0.3983870967742007</v>
      </c>
      <c r="D145" s="18">
        <f t="shared" si="3"/>
        <v>3.184605040708874</v>
      </c>
      <c r="E145" s="15" t="b">
        <f t="shared" si="2"/>
        <v>0</v>
      </c>
    </row>
    <row r="146" spans="1:5" ht="15" x14ac:dyDescent="0.25">
      <c r="A146" s="23" t="str">
        <v>2009</v>
      </c>
      <c r="B146" s="16">
        <v>87.112903225806448</v>
      </c>
      <c r="C146" s="17">
        <f t="shared" si="1"/>
        <v>-0.99516129032258505</v>
      </c>
      <c r="D146" s="18">
        <f t="shared" si="3"/>
        <v>1.8978753029987911</v>
      </c>
      <c r="E146" s="15" t="b">
        <f t="shared" si="2"/>
        <v>0</v>
      </c>
    </row>
    <row r="147" spans="1:5" ht="15" x14ac:dyDescent="0.25">
      <c r="A147" s="23" t="str">
        <v>2010</v>
      </c>
      <c r="B147" s="16">
        <v>91.306451612903231</v>
      </c>
      <c r="C147" s="17">
        <f t="shared" si="1"/>
        <v>3.1983870967741979</v>
      </c>
      <c r="D147" s="18">
        <f t="shared" si="3"/>
        <v>1.437137174032399E-2</v>
      </c>
      <c r="E147" s="15" t="b">
        <f t="shared" si="2"/>
        <v>0</v>
      </c>
    </row>
    <row r="148" spans="1:5" ht="15" x14ac:dyDescent="0.25">
      <c r="A148" s="23" t="str">
        <v>2011</v>
      </c>
      <c r="B148" s="16">
        <v>92.709677419354833</v>
      </c>
      <c r="C148" s="17">
        <f t="shared" si="1"/>
        <v>4.6016129032257993</v>
      </c>
      <c r="D148" s="18">
        <f t="shared" si="3"/>
        <v>2.32441582757864</v>
      </c>
      <c r="E148" s="15" t="b">
        <f t="shared" si="2"/>
        <v>0</v>
      </c>
    </row>
    <row r="149" spans="1:5" ht="15" x14ac:dyDescent="0.25">
      <c r="A149" s="23" t="str">
        <v>2012</v>
      </c>
      <c r="B149" s="16">
        <v>90.870967741935488</v>
      </c>
      <c r="C149" s="17">
        <f t="shared" si="1"/>
        <v>2.7629032258064541</v>
      </c>
      <c r="D149" s="18">
        <f t="shared" si="3"/>
        <v>6.0376860898685578</v>
      </c>
      <c r="E149" s="15" t="b">
        <f t="shared" si="2"/>
        <v>0</v>
      </c>
    </row>
    <row r="150" spans="1:5" ht="15" x14ac:dyDescent="0.25">
      <c r="A150" s="23" t="str">
        <v>2013</v>
      </c>
      <c r="B150" s="16">
        <v>84.838709677419359</v>
      </c>
      <c r="C150" s="17">
        <f t="shared" si="1"/>
        <v>-3.269354838709674</v>
      </c>
      <c r="D150" s="18">
        <f t="shared" si="3"/>
        <v>7.91224667473913</v>
      </c>
      <c r="E150" s="15" t="b">
        <f t="shared" si="2"/>
        <v>0</v>
      </c>
    </row>
    <row r="151" spans="1:5" ht="15" x14ac:dyDescent="0.25">
      <c r="A151" s="23" t="str">
        <v>2014</v>
      </c>
      <c r="B151" s="16">
        <v>87.435483870967744</v>
      </c>
      <c r="C151" s="17">
        <f t="shared" si="1"/>
        <v>-0.67258064516128968</v>
      </c>
      <c r="D151" s="18">
        <f t="shared" si="3"/>
        <v>3.7545491950935741</v>
      </c>
      <c r="E151" s="15" t="b">
        <f t="shared" si="2"/>
        <v>0</v>
      </c>
    </row>
    <row r="152" spans="1:5" ht="15" x14ac:dyDescent="0.25">
      <c r="A152" s="23" t="str">
        <v>2015</v>
      </c>
      <c r="B152" s="16">
        <v>89.41935483870968</v>
      </c>
      <c r="C152" s="17">
        <f t="shared" si="1"/>
        <v>1.3112903225806463</v>
      </c>
      <c r="D152" s="18">
        <f t="shared" si="3"/>
        <v>2.1936259089964025</v>
      </c>
      <c r="E152" s="15" t="b">
        <f t="shared" si="2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(1)CUSUM Minus</vt:lpstr>
      <vt:lpstr>(2)CUSUM 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Murashova-Dreyfus</dc:creator>
  <cp:lastModifiedBy>Olga Murashova-Dreyfus</cp:lastModifiedBy>
  <dcterms:created xsi:type="dcterms:W3CDTF">2025-09-08T16:40:00Z</dcterms:created>
  <dcterms:modified xsi:type="dcterms:W3CDTF">2025-09-10T21:59:14Z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428601DAA569489B95BB799A1CD1AB2E_12</vt:lpwstr>
  </property>
  <property fmtid="{D5CDD505-2E9C-101B-9397-08002B2CF9AE}" pid="3" name="KSOProductBuildVer">
    <vt:lpwstr>1033-12.2.0.21931</vt:lpwstr>
  </property>
</Properties>
</file>